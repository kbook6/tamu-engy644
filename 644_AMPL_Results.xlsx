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863770ba5bcb5e9/Documents/0-tamu/engy644-processsys/"/>
    </mc:Choice>
  </mc:AlternateContent>
  <xr:revisionPtr revIDLastSave="0" documentId="8_{C2D8D673-1C05-4F82-924B-A59127BB1DC6}" xr6:coauthVersionLast="47" xr6:coauthVersionMax="47" xr10:uidLastSave="{00000000-0000-0000-0000-000000000000}"/>
  <bookViews>
    <workbookView xWindow="-98" yWindow="-98" windowWidth="19396" windowHeight="11475" activeTab="2" xr2:uid="{9A5F9D2C-85E2-4695-A0C9-82E3BB910230}"/>
  </bookViews>
  <sheets>
    <sheet name="stoch-sched" sheetId="1" r:id="rId1"/>
    <sheet name="stoch-recourse" sheetId="3" r:id="rId2"/>
    <sheet name="EV-sched" sheetId="5" r:id="rId3"/>
    <sheet name="EV-recourse" sheetId="6" r:id="rId4"/>
    <sheet name="WS-sched" sheetId="10" r:id="rId5"/>
    <sheet name="WS-recourse" sheetId="9" r:id="rId6"/>
    <sheet name="RAW DATA" sheetId="4" r:id="rId7"/>
    <sheet name="stoch-scens" sheetId="2" r:id="rId8"/>
    <sheet name="EV-scens" sheetId="7" r:id="rId9"/>
    <sheet name="WS-scens" sheetId="8" r:id="rId10"/>
  </sheets>
  <definedNames>
    <definedName name="_xlnm._FilterDatabase" localSheetId="8" hidden="1">'EV-scens'!$B$1:$B$193</definedName>
    <definedName name="_xlnm._FilterDatabase" localSheetId="7" hidden="1">'stoch-scens'!$B$1:$B$195</definedName>
    <definedName name="_xlnm._FilterDatabase" localSheetId="0" hidden="1">'stoch-sched'!$W$1:$W$195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" i="8" l="1" a="1"/>
  <c r="AD3" i="8" s="1"/>
  <c r="AD4" i="8" a="1"/>
  <c r="AD4" i="8" s="1"/>
  <c r="AD5" i="8" a="1"/>
  <c r="AD5" i="8" s="1"/>
  <c r="AD6" i="8" a="1"/>
  <c r="AD6" i="8" s="1"/>
  <c r="AD7" i="8" a="1"/>
  <c r="AD7" i="8" s="1"/>
  <c r="AD8" i="8" a="1"/>
  <c r="AD8" i="8" s="1"/>
  <c r="AD9" i="8" a="1"/>
  <c r="AD9" i="8" s="1"/>
  <c r="AD10" i="8" a="1"/>
  <c r="AD10" i="8" s="1"/>
  <c r="AD11" i="8" a="1"/>
  <c r="AD11" i="8" s="1"/>
  <c r="AD12" i="8" a="1"/>
  <c r="AD12" i="8" s="1"/>
  <c r="AD13" i="8" a="1"/>
  <c r="AD13" i="8" s="1"/>
  <c r="AD14" i="8" a="1"/>
  <c r="AD14" i="8" s="1"/>
  <c r="AD15" i="8" a="1"/>
  <c r="AD15" i="8" s="1"/>
  <c r="AD16" i="8" a="1"/>
  <c r="AD16" i="8" s="1"/>
  <c r="AD17" i="8" a="1"/>
  <c r="AD17" i="8" s="1"/>
  <c r="AD18" i="8" a="1"/>
  <c r="AD18" i="8" s="1"/>
  <c r="AD19" i="8" a="1"/>
  <c r="AD19" i="8" s="1"/>
  <c r="AD20" i="8" a="1"/>
  <c r="AD20" i="8" s="1"/>
  <c r="AD21" i="8" a="1"/>
  <c r="AD21" i="8" s="1"/>
  <c r="AD22" i="8" a="1"/>
  <c r="AD22" i="8" s="1"/>
  <c r="AD23" i="8" a="1"/>
  <c r="AD23" i="8" s="1"/>
  <c r="AD24" i="8" a="1"/>
  <c r="AD24" i="8" s="1"/>
  <c r="AD25" i="8" a="1"/>
  <c r="AD25" i="8" s="1"/>
  <c r="AD2" i="8" a="1"/>
  <c r="AD2" i="8" s="1"/>
  <c r="Z3" i="8" a="1"/>
  <c r="Z3" i="8" s="1"/>
  <c r="Z4" i="8" a="1"/>
  <c r="Z4" i="8" s="1"/>
  <c r="Z5" i="8" a="1"/>
  <c r="Z5" i="8" s="1"/>
  <c r="Z6" i="8" a="1"/>
  <c r="Z6" i="8" s="1"/>
  <c r="Z7" i="8" a="1"/>
  <c r="Z7" i="8" s="1"/>
  <c r="Z8" i="8" a="1"/>
  <c r="Z8" i="8" s="1"/>
  <c r="Z9" i="8" a="1"/>
  <c r="Z9" i="8" s="1"/>
  <c r="Z10" i="8" a="1"/>
  <c r="Z10" i="8" s="1"/>
  <c r="Z11" i="8" a="1"/>
  <c r="Z11" i="8" s="1"/>
  <c r="Z12" i="8" a="1"/>
  <c r="Z12" i="8" s="1"/>
  <c r="Z13" i="8" a="1"/>
  <c r="Z13" i="8" s="1"/>
  <c r="Z14" i="8" a="1"/>
  <c r="Z14" i="8" s="1"/>
  <c r="Z15" i="8" a="1"/>
  <c r="Z15" i="8" s="1"/>
  <c r="Z16" i="8" a="1"/>
  <c r="Z16" i="8" s="1"/>
  <c r="Z17" i="8" a="1"/>
  <c r="Z17" i="8" s="1"/>
  <c r="Z18" i="8" a="1"/>
  <c r="Z18" i="8" s="1"/>
  <c r="Z19" i="8" a="1"/>
  <c r="Z19" i="8" s="1"/>
  <c r="Z20" i="8" a="1"/>
  <c r="Z20" i="8" s="1"/>
  <c r="Z21" i="8" a="1"/>
  <c r="Z21" i="8" s="1"/>
  <c r="Z22" i="8" a="1"/>
  <c r="Z22" i="8" s="1"/>
  <c r="Z23" i="8" a="1"/>
  <c r="Z23" i="8" s="1"/>
  <c r="Z24" i="8" a="1"/>
  <c r="Z24" i="8" s="1"/>
  <c r="Z25" i="8" a="1"/>
  <c r="Z25" i="8" s="1"/>
  <c r="Z2" i="8" a="1"/>
  <c r="Z2" i="8" s="1"/>
  <c r="V3" i="8" a="1"/>
  <c r="V3" i="8" s="1"/>
  <c r="V4" i="8" a="1"/>
  <c r="V4" i="8" s="1"/>
  <c r="V5" i="8" a="1"/>
  <c r="V5" i="8" s="1"/>
  <c r="V6" i="8" a="1"/>
  <c r="V6" i="8" s="1"/>
  <c r="V7" i="8" a="1"/>
  <c r="V7" i="8" s="1"/>
  <c r="V8" i="8" a="1"/>
  <c r="V8" i="8" s="1"/>
  <c r="V9" i="8" a="1"/>
  <c r="V9" i="8" s="1"/>
  <c r="V10" i="8" a="1"/>
  <c r="V10" i="8" s="1"/>
  <c r="V11" i="8" a="1"/>
  <c r="V11" i="8" s="1"/>
  <c r="V12" i="8" a="1"/>
  <c r="V12" i="8" s="1"/>
  <c r="V13" i="8" a="1"/>
  <c r="V13" i="8" s="1"/>
  <c r="V14" i="8" a="1"/>
  <c r="V14" i="8" s="1"/>
  <c r="V15" i="8" a="1"/>
  <c r="V15" i="8" s="1"/>
  <c r="V16" i="8" a="1"/>
  <c r="V16" i="8" s="1"/>
  <c r="V17" i="8" a="1"/>
  <c r="V17" i="8" s="1"/>
  <c r="V18" i="8" a="1"/>
  <c r="V18" i="8" s="1"/>
  <c r="V19" i="8" a="1"/>
  <c r="V19" i="8" s="1"/>
  <c r="V20" i="8" a="1"/>
  <c r="V20" i="8" s="1"/>
  <c r="V21" i="8" a="1"/>
  <c r="V21" i="8" s="1"/>
  <c r="V22" i="8" a="1"/>
  <c r="V22" i="8" s="1"/>
  <c r="V23" i="8" a="1"/>
  <c r="V23" i="8" s="1"/>
  <c r="V24" i="8" a="1"/>
  <c r="V24" i="8" s="1"/>
  <c r="V25" i="8" a="1"/>
  <c r="V25" i="8" s="1"/>
  <c r="V2" i="8" a="1"/>
  <c r="V2" i="8" s="1"/>
  <c r="R3" i="8" a="1"/>
  <c r="R3" i="8" s="1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22" i="8" a="1"/>
  <c r="R22" i="8" s="1"/>
  <c r="R23" i="8" a="1"/>
  <c r="R23" i="8" s="1"/>
  <c r="R24" i="8" a="1"/>
  <c r="R24" i="8" s="1"/>
  <c r="R25" i="8" a="1"/>
  <c r="R25" i="8" s="1"/>
  <c r="R2" i="8" a="1"/>
  <c r="R2" i="8" s="1"/>
  <c r="N3" i="8" a="1"/>
  <c r="N3" i="8" s="1"/>
  <c r="N4" i="8" a="1"/>
  <c r="N4" i="8" s="1"/>
  <c r="N5" i="8" a="1"/>
  <c r="N5" i="8" s="1"/>
  <c r="N6" i="8" a="1"/>
  <c r="N6" i="8" s="1"/>
  <c r="N7" i="8" a="1"/>
  <c r="N7" i="8" s="1"/>
  <c r="N8" i="8" a="1"/>
  <c r="N8" i="8" s="1"/>
  <c r="N9" i="8" a="1"/>
  <c r="N9" i="8" s="1"/>
  <c r="N10" i="8" a="1"/>
  <c r="N10" i="8" s="1"/>
  <c r="N11" i="8" a="1"/>
  <c r="N11" i="8" s="1"/>
  <c r="N12" i="8" a="1"/>
  <c r="N12" i="8" s="1"/>
  <c r="N13" i="8" a="1"/>
  <c r="N13" i="8" s="1"/>
  <c r="N14" i="8" a="1"/>
  <c r="N14" i="8" s="1"/>
  <c r="N15" i="8" a="1"/>
  <c r="N15" i="8" s="1"/>
  <c r="N16" i="8" a="1"/>
  <c r="N16" i="8" s="1"/>
  <c r="N17" i="8" a="1"/>
  <c r="N17" i="8" s="1"/>
  <c r="N18" i="8" a="1"/>
  <c r="N18" i="8" s="1"/>
  <c r="N19" i="8" a="1"/>
  <c r="N19" i="8" s="1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" i="8" a="1"/>
  <c r="N2" i="8" s="1"/>
  <c r="J3" i="8" a="1"/>
  <c r="J3" i="8" s="1"/>
  <c r="J4" i="8" a="1"/>
  <c r="J4" i="8" s="1"/>
  <c r="J5" i="8" a="1"/>
  <c r="J5" i="8" s="1"/>
  <c r="J6" i="8" a="1"/>
  <c r="J6" i="8" s="1"/>
  <c r="J7" i="8" a="1"/>
  <c r="J7" i="8" s="1"/>
  <c r="J8" i="8" a="1"/>
  <c r="J8" i="8" s="1"/>
  <c r="J9" i="8" a="1"/>
  <c r="J9" i="8" s="1"/>
  <c r="J10" i="8" a="1"/>
  <c r="J10" i="8" s="1"/>
  <c r="J11" i="8" a="1"/>
  <c r="J11" i="8" s="1"/>
  <c r="J12" i="8" a="1"/>
  <c r="J12" i="8" s="1"/>
  <c r="J13" i="8" a="1"/>
  <c r="J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J20" i="8" a="1"/>
  <c r="J20" i="8" s="1"/>
  <c r="J21" i="8" a="1"/>
  <c r="J21" i="8" s="1"/>
  <c r="J22" i="8" a="1"/>
  <c r="J22" i="8" s="1"/>
  <c r="J23" i="8" a="1"/>
  <c r="J23" i="8" s="1"/>
  <c r="J24" i="8" a="1"/>
  <c r="J24" i="8" s="1"/>
  <c r="J25" i="8" a="1"/>
  <c r="J25" i="8" s="1"/>
  <c r="J2" i="8" a="1"/>
  <c r="J2" i="8" s="1"/>
  <c r="F3" i="8" a="1"/>
  <c r="F3" i="8" s="1"/>
  <c r="F4" i="8" a="1"/>
  <c r="F4" i="8" s="1"/>
  <c r="F5" i="8" a="1"/>
  <c r="F5" i="8" s="1"/>
  <c r="F6" i="8" a="1"/>
  <c r="F6" i="8" s="1"/>
  <c r="F7" i="8" a="1"/>
  <c r="F7" i="8" s="1"/>
  <c r="F8" i="8" a="1"/>
  <c r="F8" i="8" s="1"/>
  <c r="F9" i="8" a="1"/>
  <c r="F9" i="8" s="1"/>
  <c r="F10" i="8" a="1"/>
  <c r="F10" i="8" s="1"/>
  <c r="F11" i="8" a="1"/>
  <c r="F11" i="8" s="1"/>
  <c r="F12" i="8" a="1"/>
  <c r="F12" i="8" s="1"/>
  <c r="F13" i="8" a="1"/>
  <c r="F13" i="8" s="1"/>
  <c r="F14" i="8" a="1"/>
  <c r="F14" i="8" s="1"/>
  <c r="F15" i="8" a="1"/>
  <c r="F15" i="8" s="1"/>
  <c r="F16" i="8" a="1"/>
  <c r="F16" i="8" s="1"/>
  <c r="F17" i="8" a="1"/>
  <c r="F17" i="8" s="1"/>
  <c r="F18" i="8" a="1"/>
  <c r="F18" i="8" s="1"/>
  <c r="F19" i="8" a="1"/>
  <c r="F19" i="8" s="1"/>
  <c r="F20" i="8" a="1"/>
  <c r="F20" i="8" s="1"/>
  <c r="F21" i="8" a="1"/>
  <c r="F21" i="8" s="1"/>
  <c r="F22" i="8" a="1"/>
  <c r="F22" i="8" s="1"/>
  <c r="F23" i="8" a="1"/>
  <c r="F23" i="8" s="1"/>
  <c r="F24" i="8" a="1"/>
  <c r="F24" i="8" s="1"/>
  <c r="F25" i="8" a="1"/>
  <c r="F25" i="8" s="1"/>
  <c r="F2" i="8" a="1"/>
  <c r="F2" i="8" s="1"/>
  <c r="B3" i="8" a="1"/>
  <c r="B3" i="8" s="1"/>
  <c r="B4" i="8" a="1"/>
  <c r="B4" i="8" s="1"/>
  <c r="B5" i="8" a="1"/>
  <c r="B5" i="8" s="1"/>
  <c r="B6" i="8" a="1"/>
  <c r="B6" i="8" s="1"/>
  <c r="B7" i="8" a="1"/>
  <c r="B7" i="8" s="1"/>
  <c r="B8" i="8" a="1"/>
  <c r="B8" i="8" s="1"/>
  <c r="B9" i="8" a="1"/>
  <c r="B9" i="8" s="1"/>
  <c r="B10" i="8" a="1"/>
  <c r="B10" i="8" s="1"/>
  <c r="B11" i="8" a="1"/>
  <c r="B11" i="8" s="1"/>
  <c r="B12" i="8" a="1"/>
  <c r="B12" i="8" s="1"/>
  <c r="B13" i="8" a="1"/>
  <c r="B13" i="8" s="1"/>
  <c r="B14" i="8" a="1"/>
  <c r="B14" i="8" s="1"/>
  <c r="B15" i="8" a="1"/>
  <c r="B15" i="8" s="1"/>
  <c r="B16" i="8" a="1"/>
  <c r="B16" i="8" s="1"/>
  <c r="B17" i="8" a="1"/>
  <c r="B17" i="8" s="1"/>
  <c r="B18" i="8" a="1"/>
  <c r="B18" i="8" s="1"/>
  <c r="B19" i="8" a="1"/>
  <c r="B19" i="8" s="1"/>
  <c r="B20" i="8" a="1"/>
  <c r="B20" i="8" s="1"/>
  <c r="B21" i="8" a="1"/>
  <c r="B21" i="8" s="1"/>
  <c r="B22" i="8" a="1"/>
  <c r="B22" i="8" s="1"/>
  <c r="B23" i="8" a="1"/>
  <c r="B23" i="8" s="1"/>
  <c r="B24" i="8" a="1"/>
  <c r="B24" i="8" s="1"/>
  <c r="B25" i="8" a="1"/>
  <c r="B25" i="8" s="1"/>
  <c r="B2" i="8" a="1"/>
  <c r="B2" i="8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H22" i="4" a="1"/>
  <c r="H22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5" i="4" a="1"/>
  <c r="H35" i="4" s="1"/>
  <c r="H36" i="4" a="1"/>
  <c r="H36" i="4" s="1"/>
  <c r="H37" i="4" a="1"/>
  <c r="H37" i="4" s="1"/>
  <c r="H38" i="4" a="1"/>
  <c r="H38" i="4" s="1"/>
  <c r="H39" i="4" a="1"/>
  <c r="H39" i="4" s="1"/>
  <c r="H40" i="4" a="1"/>
  <c r="H40" i="4" s="1"/>
  <c r="H41" i="4" a="1"/>
  <c r="H41" i="4" s="1"/>
  <c r="H42" i="4" a="1"/>
  <c r="H42" i="4" s="1"/>
  <c r="H43" i="4" a="1"/>
  <c r="H43" i="4" s="1"/>
  <c r="H44" i="4" a="1"/>
  <c r="H44" i="4" s="1"/>
  <c r="H45" i="4" a="1"/>
  <c r="H45" i="4" s="1"/>
  <c r="H46" i="4" a="1"/>
  <c r="H46" i="4" s="1"/>
  <c r="H47" i="4" a="1"/>
  <c r="H47" i="4" s="1"/>
  <c r="H48" i="4" a="1"/>
  <c r="H48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 s="1"/>
  <c r="H55" i="4" a="1"/>
  <c r="H55" i="4" s="1"/>
  <c r="H56" i="4" a="1"/>
  <c r="H56" i="4" s="1"/>
  <c r="H57" i="4" a="1"/>
  <c r="H57" i="4" s="1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 s="1"/>
  <c r="H72" i="4" a="1"/>
  <c r="H72" i="4" s="1"/>
  <c r="H73" i="4" a="1"/>
  <c r="H73" i="4" s="1"/>
  <c r="H74" i="4" a="1"/>
  <c r="H74" i="4" s="1"/>
  <c r="H75" i="4" a="1"/>
  <c r="H75" i="4" s="1"/>
  <c r="H76" i="4" a="1"/>
  <c r="H76" i="4" s="1"/>
  <c r="H77" i="4" a="1"/>
  <c r="H77" i="4" s="1"/>
  <c r="H78" i="4" a="1"/>
  <c r="H78" i="4" s="1"/>
  <c r="H79" i="4" a="1"/>
  <c r="H79" i="4" s="1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 s="1"/>
  <c r="H86" i="4" a="1"/>
  <c r="H86" i="4" s="1"/>
  <c r="H87" i="4" a="1"/>
  <c r="H87" i="4" s="1"/>
  <c r="H88" i="4" a="1"/>
  <c r="H88" i="4" s="1"/>
  <c r="H89" i="4" a="1"/>
  <c r="H89" i="4" s="1"/>
  <c r="H90" i="4" a="1"/>
  <c r="H90" i="4" s="1"/>
  <c r="H91" i="4" a="1"/>
  <c r="H91" i="4" s="1"/>
  <c r="H92" i="4" a="1"/>
  <c r="H92" i="4" s="1"/>
  <c r="H93" i="4" a="1"/>
  <c r="H93" i="4" s="1"/>
  <c r="H94" i="4" a="1"/>
  <c r="H94" i="4" s="1"/>
  <c r="H95" i="4" a="1"/>
  <c r="H95" i="4" s="1"/>
  <c r="H96" i="4" a="1"/>
  <c r="H96" i="4" s="1"/>
  <c r="H97" i="4" a="1"/>
  <c r="H97" i="4" s="1"/>
  <c r="H98" i="4" a="1"/>
  <c r="H98" i="4" s="1"/>
  <c r="H99" i="4" a="1"/>
  <c r="H99" i="4" s="1"/>
  <c r="H100" i="4" a="1"/>
  <c r="H100" i="4" s="1"/>
  <c r="H101" i="4" a="1"/>
  <c r="H101" i="4" s="1"/>
  <c r="H102" i="4" a="1"/>
  <c r="H102" i="4" s="1"/>
  <c r="H103" i="4" a="1"/>
  <c r="H103" i="4" s="1"/>
  <c r="H104" i="4" a="1"/>
  <c r="H104" i="4" s="1"/>
  <c r="H105" i="4" a="1"/>
  <c r="H105" i="4" s="1"/>
  <c r="H106" i="4" a="1"/>
  <c r="H106" i="4" s="1"/>
  <c r="H107" i="4" a="1"/>
  <c r="H107" i="4" s="1"/>
  <c r="H108" i="4" a="1"/>
  <c r="H108" i="4" s="1"/>
  <c r="H109" i="4" a="1"/>
  <c r="H109" i="4" s="1"/>
  <c r="H110" i="4" a="1"/>
  <c r="H110" i="4" s="1"/>
  <c r="H111" i="4" a="1"/>
  <c r="H111" i="4" s="1"/>
  <c r="H112" i="4" a="1"/>
  <c r="H112" i="4" s="1"/>
  <c r="H113" i="4" a="1"/>
  <c r="H113" i="4" s="1"/>
  <c r="H114" i="4" a="1"/>
  <c r="H114" i="4" s="1"/>
  <c r="H115" i="4" a="1"/>
  <c r="H115" i="4" s="1"/>
  <c r="H116" i="4" a="1"/>
  <c r="H116" i="4" s="1"/>
  <c r="H117" i="4" a="1"/>
  <c r="H117" i="4" s="1"/>
  <c r="H118" i="4" a="1"/>
  <c r="H118" i="4" s="1"/>
  <c r="H119" i="4" a="1"/>
  <c r="H119" i="4" s="1"/>
  <c r="H120" i="4" a="1"/>
  <c r="H120" i="4" s="1"/>
  <c r="H121" i="4" a="1"/>
  <c r="H121" i="4" s="1"/>
  <c r="H122" i="4" a="1"/>
  <c r="H122" i="4" s="1"/>
  <c r="H123" i="4" a="1"/>
  <c r="H123" i="4" s="1"/>
  <c r="H124" i="4" a="1"/>
  <c r="H124" i="4" s="1"/>
  <c r="H125" i="4" a="1"/>
  <c r="H125" i="4" s="1"/>
  <c r="H126" i="4" a="1"/>
  <c r="H126" i="4" s="1"/>
  <c r="H127" i="4" a="1"/>
  <c r="H127" i="4" s="1"/>
  <c r="H128" i="4" a="1"/>
  <c r="H128" i="4" s="1"/>
  <c r="H129" i="4" a="1"/>
  <c r="H129" i="4" s="1"/>
  <c r="H130" i="4" a="1"/>
  <c r="H130" i="4" s="1"/>
  <c r="H131" i="4" a="1"/>
  <c r="H131" i="4" s="1"/>
  <c r="H132" i="4" a="1"/>
  <c r="H132" i="4" s="1"/>
  <c r="H133" i="4" a="1"/>
  <c r="H133" i="4" s="1"/>
  <c r="H134" i="4" a="1"/>
  <c r="H134" i="4" s="1"/>
  <c r="H135" i="4" a="1"/>
  <c r="H135" i="4" s="1"/>
  <c r="H136" i="4" a="1"/>
  <c r="H136" i="4" s="1"/>
  <c r="H137" i="4" a="1"/>
  <c r="H137" i="4" s="1"/>
  <c r="H138" i="4" a="1"/>
  <c r="H138" i="4" s="1"/>
  <c r="H139" i="4" a="1"/>
  <c r="H139" i="4" s="1"/>
  <c r="H140" i="4" a="1"/>
  <c r="H140" i="4" s="1"/>
  <c r="H141" i="4" a="1"/>
  <c r="H141" i="4" s="1"/>
  <c r="H142" i="4" a="1"/>
  <c r="H142" i="4" s="1"/>
  <c r="H143" i="4" a="1"/>
  <c r="H143" i="4" s="1"/>
  <c r="H144" i="4" a="1"/>
  <c r="H144" i="4" s="1"/>
  <c r="H145" i="4" a="1"/>
  <c r="H145" i="4" s="1"/>
  <c r="H146" i="4" a="1"/>
  <c r="H146" i="4" s="1"/>
  <c r="H147" i="4" a="1"/>
  <c r="H147" i="4" s="1"/>
  <c r="H148" i="4" a="1"/>
  <c r="H148" i="4" s="1"/>
  <c r="H149" i="4" a="1"/>
  <c r="H149" i="4" s="1"/>
  <c r="H150" i="4" a="1"/>
  <c r="H150" i="4" s="1"/>
  <c r="H151" i="4" a="1"/>
  <c r="H151" i="4" s="1"/>
  <c r="H152" i="4" a="1"/>
  <c r="H152" i="4" s="1"/>
  <c r="H153" i="4" a="1"/>
  <c r="H153" i="4" s="1"/>
  <c r="H154" i="4" a="1"/>
  <c r="H154" i="4" s="1"/>
  <c r="H155" i="4" a="1"/>
  <c r="H155" i="4" s="1"/>
  <c r="H156" i="4" a="1"/>
  <c r="H156" i="4" s="1"/>
  <c r="H157" i="4" a="1"/>
  <c r="H157" i="4" s="1"/>
  <c r="H158" i="4" a="1"/>
  <c r="H158" i="4" s="1"/>
  <c r="H159" i="4" a="1"/>
  <c r="H159" i="4" s="1"/>
  <c r="H160" i="4" a="1"/>
  <c r="H160" i="4" s="1"/>
  <c r="H161" i="4" a="1"/>
  <c r="H161" i="4" s="1"/>
  <c r="H162" i="4" a="1"/>
  <c r="H162" i="4" s="1"/>
  <c r="H163" i="4" a="1"/>
  <c r="H163" i="4" s="1"/>
  <c r="H164" i="4" a="1"/>
  <c r="H164" i="4" s="1"/>
  <c r="H165" i="4" a="1"/>
  <c r="H165" i="4" s="1"/>
  <c r="H166" i="4" a="1"/>
  <c r="H166" i="4" s="1"/>
  <c r="H167" i="4" a="1"/>
  <c r="H167" i="4" s="1"/>
  <c r="H168" i="4" a="1"/>
  <c r="H168" i="4" s="1"/>
  <c r="H169" i="4" a="1"/>
  <c r="H169" i="4" s="1"/>
  <c r="H170" i="4" a="1"/>
  <c r="H170" i="4" s="1"/>
  <c r="H171" i="4" a="1"/>
  <c r="H171" i="4" s="1"/>
  <c r="H172" i="4" a="1"/>
  <c r="H172" i="4" s="1"/>
  <c r="H173" i="4" a="1"/>
  <c r="H173" i="4" s="1"/>
  <c r="H174" i="4" a="1"/>
  <c r="H174" i="4" s="1"/>
  <c r="H175" i="4" a="1"/>
  <c r="H175" i="4" s="1"/>
  <c r="H176" i="4" a="1"/>
  <c r="H176" i="4" s="1"/>
  <c r="H177" i="4" a="1"/>
  <c r="H177" i="4" s="1"/>
  <c r="H178" i="4" a="1"/>
  <c r="H178" i="4" s="1"/>
  <c r="H179" i="4" a="1"/>
  <c r="H179" i="4" s="1"/>
  <c r="H180" i="4" a="1"/>
  <c r="H180" i="4" s="1"/>
  <c r="H181" i="4" a="1"/>
  <c r="H181" i="4" s="1"/>
  <c r="H182" i="4" a="1"/>
  <c r="H182" i="4" s="1"/>
  <c r="H183" i="4" a="1"/>
  <c r="H183" i="4" s="1"/>
  <c r="H184" i="4" a="1"/>
  <c r="H184" i="4" s="1"/>
  <c r="H185" i="4" a="1"/>
  <c r="H185" i="4" s="1"/>
  <c r="H186" i="4" a="1"/>
  <c r="H186" i="4" s="1"/>
  <c r="H187" i="4" a="1"/>
  <c r="H187" i="4" s="1"/>
  <c r="H188" i="4" a="1"/>
  <c r="H188" i="4" s="1"/>
  <c r="H189" i="4" a="1"/>
  <c r="H189" i="4" s="1"/>
  <c r="H190" i="4" a="1"/>
  <c r="H190" i="4" s="1"/>
  <c r="H191" i="4" a="1"/>
  <c r="H191" i="4" s="1"/>
  <c r="H192" i="4" a="1"/>
  <c r="H192" i="4" s="1"/>
  <c r="H193" i="4" a="1"/>
  <c r="H193" i="4" s="1"/>
  <c r="H2" i="4" a="1"/>
  <c r="H2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5" i="4" a="1"/>
  <c r="B5" i="4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/>
  <c r="Q122" i="1" a="1"/>
  <c r="Q122" i="1" s="1"/>
  <c r="Q123" i="1" a="1"/>
  <c r="Q123" i="1" s="1"/>
  <c r="Q124" i="1" a="1"/>
  <c r="Q124" i="1" s="1"/>
  <c r="Q125" i="1" a="1"/>
  <c r="Q125" i="1"/>
  <c r="Q126" i="1" a="1"/>
  <c r="Q126" i="1" s="1"/>
  <c r="Q127" i="1" a="1"/>
  <c r="Q127" i="1" s="1"/>
  <c r="Q128" i="1" a="1"/>
  <c r="Q128" i="1" s="1"/>
  <c r="Q129" i="1" a="1"/>
  <c r="Q129" i="1"/>
  <c r="Q130" i="1" a="1"/>
  <c r="Q130" i="1" s="1"/>
  <c r="Q131" i="1" a="1"/>
  <c r="Q131" i="1" s="1"/>
  <c r="Q132" i="1" a="1"/>
  <c r="Q132" i="1" s="1"/>
  <c r="Q133" i="1" a="1"/>
  <c r="Q133" i="1"/>
  <c r="Q134" i="1" a="1"/>
  <c r="Q134" i="1" s="1"/>
  <c r="Q135" i="1" a="1"/>
  <c r="Q135" i="1" s="1"/>
  <c r="Q136" i="1" a="1"/>
  <c r="Q136" i="1" s="1"/>
  <c r="Q137" i="1" a="1"/>
  <c r="Q137" i="1"/>
  <c r="Q138" i="1" a="1"/>
  <c r="Q138" i="1" s="1"/>
  <c r="Q139" i="1" a="1"/>
  <c r="Q139" i="1" s="1"/>
  <c r="Q140" i="1" a="1"/>
  <c r="Q140" i="1" s="1"/>
  <c r="Q141" i="1" a="1"/>
  <c r="Q141" i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/>
  <c r="Q150" i="1" a="1"/>
  <c r="Q150" i="1" s="1"/>
  <c r="Q151" i="1" a="1"/>
  <c r="Q151" i="1" s="1"/>
  <c r="Q152" i="1" a="1"/>
  <c r="Q152" i="1" s="1"/>
  <c r="Q153" i="1" a="1"/>
  <c r="Q153" i="1"/>
  <c r="Q154" i="1" a="1"/>
  <c r="Q154" i="1" s="1"/>
  <c r="Q155" i="1" a="1"/>
  <c r="Q155" i="1" s="1"/>
  <c r="Q156" i="1" a="1"/>
  <c r="Q156" i="1" s="1"/>
  <c r="Q157" i="1" a="1"/>
  <c r="Q157" i="1"/>
  <c r="Q158" i="1" a="1"/>
  <c r="Q158" i="1" s="1"/>
  <c r="Q159" i="1" a="1"/>
  <c r="Q159" i="1" s="1"/>
  <c r="Q160" i="1" a="1"/>
  <c r="Q160" i="1" s="1"/>
  <c r="Q161" i="1" a="1"/>
  <c r="Q161" i="1"/>
  <c r="Q162" i="1" a="1"/>
  <c r="Q162" i="1" s="1"/>
  <c r="Q163" i="1" a="1"/>
  <c r="Q163" i="1" s="1"/>
  <c r="Q164" i="1" a="1"/>
  <c r="Q164" i="1" s="1"/>
  <c r="Q165" i="1" a="1"/>
  <c r="Q165" i="1"/>
  <c r="Q166" i="1" a="1"/>
  <c r="Q166" i="1" s="1"/>
  <c r="Q167" i="1" a="1"/>
  <c r="Q167" i="1" s="1"/>
  <c r="Q168" i="1" a="1"/>
  <c r="Q168" i="1" s="1"/>
  <c r="Q169" i="1" a="1"/>
  <c r="Q169" i="1"/>
  <c r="Q170" i="1" a="1"/>
  <c r="Q170" i="1" s="1"/>
  <c r="Q171" i="1" a="1"/>
  <c r="Q171" i="1" s="1"/>
  <c r="Q172" i="1" a="1"/>
  <c r="Q172" i="1" s="1"/>
  <c r="Q173" i="1" a="1"/>
  <c r="Q173" i="1"/>
  <c r="Q174" i="1" a="1"/>
  <c r="Q174" i="1" s="1"/>
  <c r="Q175" i="1" a="1"/>
  <c r="Q175" i="1" s="1"/>
  <c r="Q176" i="1" a="1"/>
  <c r="Q176" i="1" s="1"/>
  <c r="Q177" i="1" a="1"/>
  <c r="Q177" i="1"/>
  <c r="Q178" i="1" a="1"/>
  <c r="Q178" i="1" s="1"/>
  <c r="Q179" i="1" a="1"/>
  <c r="Q179" i="1" s="1"/>
  <c r="Q180" i="1" a="1"/>
  <c r="Q180" i="1" s="1"/>
  <c r="Q181" i="1" a="1"/>
  <c r="Q181" i="1"/>
  <c r="Q182" i="1" a="1"/>
  <c r="Q182" i="1" s="1"/>
  <c r="Q183" i="1" a="1"/>
  <c r="Q183" i="1" s="1"/>
  <c r="Q184" i="1" a="1"/>
  <c r="Q184" i="1" s="1"/>
  <c r="Q185" i="1" a="1"/>
  <c r="Q185" i="1"/>
  <c r="Q186" i="1" a="1"/>
  <c r="Q186" i="1" s="1"/>
  <c r="Q187" i="1" a="1"/>
  <c r="Q187" i="1" s="1"/>
  <c r="Q188" i="1" a="1"/>
  <c r="Q188" i="1" s="1"/>
  <c r="Q189" i="1" a="1"/>
  <c r="Q189" i="1"/>
  <c r="Q190" i="1" a="1"/>
  <c r="Q190" i="1" s="1"/>
  <c r="Q191" i="1" a="1"/>
  <c r="Q191" i="1" s="1"/>
  <c r="Q192" i="1" a="1"/>
  <c r="Q192" i="1" s="1"/>
  <c r="Q193" i="1" a="1"/>
  <c r="Q193" i="1"/>
  <c r="Q194" i="1" a="1"/>
  <c r="Q194" i="1" s="1"/>
  <c r="Q195" i="1" a="1"/>
  <c r="Q195" i="1" s="1"/>
  <c r="Q3" i="1" a="1"/>
  <c r="Q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<sst xmlns="http://schemas.openxmlformats.org/spreadsheetml/2006/main" count="2186" uniqueCount="532">
  <si>
    <t>AMPL Results</t>
  </si>
  <si>
    <t>total cost:</t>
  </si>
  <si>
    <t>HOUR</t>
  </si>
  <si>
    <t>SCENARIO</t>
  </si>
  <si>
    <t>G</t>
  </si>
  <si>
    <t>E</t>
  </si>
  <si>
    <t>Stochastic Model</t>
  </si>
  <si>
    <t>RAW</t>
  </si>
  <si>
    <t>purchase and export</t>
  </si>
  <si>
    <t>1</t>
  </si>
  <si>
    <t>Clear_Breezy</t>
  </si>
  <si>
    <t>0.712</t>
  </si>
  <si>
    <t>0</t>
  </si>
  <si>
    <t>Gurobi, 10 iterations</t>
  </si>
  <si>
    <t>HOUR SCENARIO G E</t>
  </si>
  <si>
    <t>Cloudy_Calm</t>
  </si>
  <si>
    <t>4.704</t>
  </si>
  <si>
    <t>xS</t>
  </si>
  <si>
    <t>xW</t>
  </si>
  <si>
    <t>1 Clear_Breezy 0.712 0</t>
  </si>
  <si>
    <t>Hot_Clear</t>
  </si>
  <si>
    <t>2.74</t>
  </si>
  <si>
    <t>1 Cloudy_Calm 4.704 0</t>
  </si>
  <si>
    <t>Hot_Cloudy</t>
  </si>
  <si>
    <t>2.522</t>
  </si>
  <si>
    <t>1 Hot_Clear 2.74 0</t>
  </si>
  <si>
    <t>Hot_Hazy</t>
  </si>
  <si>
    <t>4.632</t>
  </si>
  <si>
    <t>1 Hot_Cloudy 2.522 0</t>
  </si>
  <si>
    <t>Mild_Balanced</t>
  </si>
  <si>
    <t>1.74</t>
  </si>
  <si>
    <t>1 Hot_Hazy 4.632 0</t>
  </si>
  <si>
    <t>Overcast_Windy</t>
  </si>
  <si>
    <t>1.112</t>
  </si>
  <si>
    <t>1 Mild_Balanced 1.74 0</t>
  </si>
  <si>
    <t>Storm_PM</t>
  </si>
  <si>
    <t>2.798</t>
  </si>
  <si>
    <t>1 Overcast_Windy 0 1.112</t>
  </si>
  <si>
    <t>2</t>
  </si>
  <si>
    <t>0.086</t>
  </si>
  <si>
    <t>1 Storm_PM 2.798 0</t>
  </si>
  <si>
    <t>4.236</t>
  </si>
  <si>
    <t>2 Clear_Breezy 0.086 0</t>
  </si>
  <si>
    <t>2.15</t>
  </si>
  <si>
    <t>2 Cloudy_Calm 4.236 0</t>
  </si>
  <si>
    <t>1.908</t>
  </si>
  <si>
    <t>2 Hot_Clear 2.15 0</t>
  </si>
  <si>
    <t>4.116</t>
  </si>
  <si>
    <t>2 Hot_Cloudy 1.908 0</t>
  </si>
  <si>
    <t>1.18</t>
  </si>
  <si>
    <t>2 Hot_Hazy 4.116 0</t>
  </si>
  <si>
    <t>1.602</t>
  </si>
  <si>
    <t>2 Mild_Balanced 1.18 0</t>
  </si>
  <si>
    <t>2.222</t>
  </si>
  <si>
    <t>2 Overcast_Windy 0 1.602</t>
  </si>
  <si>
    <t>3</t>
  </si>
  <si>
    <t>2 Storm_PM 2.222 0</t>
  </si>
  <si>
    <t>4.03</t>
  </si>
  <si>
    <t>3 Clear_Breezy 0 0</t>
  </si>
  <si>
    <t>1.92</t>
  </si>
  <si>
    <t>3 Cloudy_Calm 4.03 0</t>
  </si>
  <si>
    <t>1.67064</t>
  </si>
  <si>
    <t>3 Hot_Clear 1.92 0</t>
  </si>
  <si>
    <t>3.82287</t>
  </si>
  <si>
    <t>3 Hot_Cloudy 1.67064 0</t>
  </si>
  <si>
    <t>0.98</t>
  </si>
  <si>
    <t>3 Hot_Hazy 3.82287 0</t>
  </si>
  <si>
    <t>1.68</t>
  </si>
  <si>
    <t>3 Mild_Balanced 0.98 0</t>
  </si>
  <si>
    <t>2.01936</t>
  </si>
  <si>
    <t>3 Overcast_Windy 0 1.68</t>
  </si>
  <si>
    <t>4</t>
  </si>
  <si>
    <t>3 Storm_PM 2.01936 0</t>
  </si>
  <si>
    <t>3.91251</t>
  </si>
  <si>
    <t>4 Clear_Breezy 0 0</t>
  </si>
  <si>
    <t>1.79085</t>
  </si>
  <si>
    <t>4 Cloudy_Calm 3.91251 0</t>
  </si>
  <si>
    <t>1.54689</t>
  </si>
  <si>
    <t>4 Hot_Clear 1.79085 0</t>
  </si>
  <si>
    <t>3.62813</t>
  </si>
  <si>
    <t>4 Hot_Cloudy 1.54689 0</t>
  </si>
  <si>
    <t>0.860848</t>
  </si>
  <si>
    <t>4 Hot_Hazy 3.62813 0</t>
  </si>
  <si>
    <t>1.67583</t>
  </si>
  <si>
    <t>4 Mild_Balanced 0.860848 0</t>
  </si>
  <si>
    <t>1.87481</t>
  </si>
  <si>
    <t>4 Overcast_Windy 0 1.67583</t>
  </si>
  <si>
    <t>5</t>
  </si>
  <si>
    <t>0.334</t>
  </si>
  <si>
    <t>4 Storm_PM 1.87481 0</t>
  </si>
  <si>
    <t>3.91</t>
  </si>
  <si>
    <t>5 Clear_Breezy 0.334 0</t>
  </si>
  <si>
    <t>1.93</t>
  </si>
  <si>
    <t>5 Cloudy_Calm 3.91 0</t>
  </si>
  <si>
    <t>1.758</t>
  </si>
  <si>
    <t>5 Hot_Clear 1.93 0</t>
  </si>
  <si>
    <t>3.77</t>
  </si>
  <si>
    <t>5 Hot_Cloudy 1.758 0</t>
  </si>
  <si>
    <t>0.99</t>
  </si>
  <si>
    <t>5 Hot_Hazy 3.77 0</t>
  </si>
  <si>
    <t>1.344</t>
  </si>
  <si>
    <t>5 Mild_Balanced 0.99 0</t>
  </si>
  <si>
    <t>2.022</t>
  </si>
  <si>
    <t>5 Overcast_Windy 0 1.344</t>
  </si>
  <si>
    <t>6</t>
  </si>
  <si>
    <t>1.65</t>
  </si>
  <si>
    <t>5 Storm_PM 2.022 0</t>
  </si>
  <si>
    <t>4.634</t>
  </si>
  <si>
    <t>6 Clear_Breezy 1.65 0</t>
  </si>
  <si>
    <t>3.02</t>
  </si>
  <si>
    <t>6 Cloudy_Calm 4.634 0</t>
  </si>
  <si>
    <t>2.928</t>
  </si>
  <si>
    <t>6 Hot_Clear 3.02 0</t>
  </si>
  <si>
    <t>4.716</t>
  </si>
  <si>
    <t>6 Hot_Cloudy 2.928 0</t>
  </si>
  <si>
    <t>2.1</t>
  </si>
  <si>
    <t>6 Hot_Hazy 4.716 0</t>
  </si>
  <si>
    <t>0.144</t>
  </si>
  <si>
    <t>6 Mild_Balanced 2.1 0</t>
  </si>
  <si>
    <t>3.064</t>
  </si>
  <si>
    <t>6 Overcast_Windy 0.144 0</t>
  </si>
  <si>
    <t>7</t>
  </si>
  <si>
    <t>3.612</t>
  </si>
  <si>
    <t>6 Storm_PM 3.064 0</t>
  </si>
  <si>
    <t>6.084</t>
  </si>
  <si>
    <t>7 Clear_Breezy 3.612 0</t>
  </si>
  <si>
    <t>4.89</t>
  </si>
  <si>
    <t>7 Cloudy_Calm 6.084 0</t>
  </si>
  <si>
    <t>4.892</t>
  </si>
  <si>
    <t>7 Hot_Clear 4.89 0</t>
  </si>
  <si>
    <t>6.382</t>
  </si>
  <si>
    <t>7 Hot_Cloudy 4.892 0</t>
  </si>
  <si>
    <t>3.938</t>
  </si>
  <si>
    <t>7 Hot_Hazy 6.382 0</t>
  </si>
  <si>
    <t>2.196</t>
  </si>
  <si>
    <t>7 Mild_Balanced 3.938 0</t>
  </si>
  <si>
    <t>4.698</t>
  </si>
  <si>
    <t>7 Overcast_Windy 2.196 0</t>
  </si>
  <si>
    <t>8</t>
  </si>
  <si>
    <t>5.736</t>
  </si>
  <si>
    <t>7 Storm_PM 4.698 0</t>
  </si>
  <si>
    <t>7.748</t>
  </si>
  <si>
    <t>8 Clear_Breezy 5.736 0</t>
  </si>
  <si>
    <t>7.08</t>
  </si>
  <si>
    <t>8 Cloudy_Calm 7.748 0</t>
  </si>
  <si>
    <t>7.148</t>
  </si>
  <si>
    <t>8 Hot_Clear 7.08 0</t>
  </si>
  <si>
    <t>8.378</t>
  </si>
  <si>
    <t>8 Hot_Cloudy 7.148 0</t>
  </si>
  <si>
    <t>5.864</t>
  </si>
  <si>
    <t>8 Hot_Hazy 8.378 0</t>
  </si>
  <si>
    <t>4.41</t>
  </si>
  <si>
    <t>8 Mild_Balanced 5.864 0</t>
  </si>
  <si>
    <t>6.64</t>
  </si>
  <si>
    <t>8 Overcast_Windy 4.41 0</t>
  </si>
  <si>
    <t>9</t>
  </si>
  <si>
    <t>2.562</t>
  </si>
  <si>
    <t>8 Storm_PM 6.64 0</t>
  </si>
  <si>
    <t>6.616</t>
  </si>
  <si>
    <t>9 Clear_Breezy 2.562 0</t>
  </si>
  <si>
    <t>4.02</t>
  </si>
  <si>
    <t>9 Cloudy_Calm 6.616 0</t>
  </si>
  <si>
    <t>6.06</t>
  </si>
  <si>
    <t>9 Hot_Clear 4.02 0</t>
  </si>
  <si>
    <t>5.678</t>
  </si>
  <si>
    <t>9 Hot_Cloudy 6.06 0</t>
  </si>
  <si>
    <t>2.944</t>
  </si>
  <si>
    <t>9 Hot_Hazy 5.678 0</t>
  </si>
  <si>
    <t>4.47</t>
  </si>
  <si>
    <t>9 Mild_Balanced 2.944 0</t>
  </si>
  <si>
    <t>3.528</t>
  </si>
  <si>
    <t>9 Overcast_Windy 4.47 0</t>
  </si>
  <si>
    <t>10</t>
  </si>
  <si>
    <t>9 Storm_PM 3.528 0</t>
  </si>
  <si>
    <t>5.50408</t>
  </si>
  <si>
    <t>10 Clear_Breezy 0 0</t>
  </si>
  <si>
    <t>1.7104</t>
  </si>
  <si>
    <t>10 Cloudy_Calm 5.50408 0</t>
  </si>
  <si>
    <t>5.2604</t>
  </si>
  <si>
    <t>10 Hot_Clear 1.7104 0</t>
  </si>
  <si>
    <t>3.38152</t>
  </si>
  <si>
    <t>10 Hot_Cloudy 5.2604 0</t>
  </si>
  <si>
    <t>0.49648</t>
  </si>
  <si>
    <t>10 Hot_Hazy 3.38152 0</t>
  </si>
  <si>
    <t>4.60928</t>
  </si>
  <si>
    <t>10 Mild_Balanced 0.49648 0</t>
  </si>
  <si>
    <t>1.40784</t>
  </si>
  <si>
    <t>10 Overcast_Windy 4.60928 0</t>
  </si>
  <si>
    <t>11</t>
  </si>
  <si>
    <t>0.39</t>
  </si>
  <si>
    <t>10 Storm_PM 1.40784 0</t>
  </si>
  <si>
    <t>5.94</t>
  </si>
  <si>
    <t>11 Clear_Breezy 0 0.39</t>
  </si>
  <si>
    <t>1.5</t>
  </si>
  <si>
    <t>11 Cloudy_Calm 5.94 0</t>
  </si>
  <si>
    <t>6.4</t>
  </si>
  <si>
    <t>11 Hot_Clear 1.5 0</t>
  </si>
  <si>
    <t>2.58</t>
  </si>
  <si>
    <t>11 Hot_Cloudy 6.4 0</t>
  </si>
  <si>
    <t>0.24</t>
  </si>
  <si>
    <t>11 Hot_Hazy 2.58 0</t>
  </si>
  <si>
    <t>7.24</t>
  </si>
  <si>
    <t>11 Mild_Balanced 0.24 0</t>
  </si>
  <si>
    <t>2.65</t>
  </si>
  <si>
    <t>11 Overcast_Windy 7.24 0</t>
  </si>
  <si>
    <t>12</t>
  </si>
  <si>
    <t>3.05</t>
  </si>
  <si>
    <t>11 Storm_PM 2.65 0</t>
  </si>
  <si>
    <t>4.46</t>
  </si>
  <si>
    <t>12 Clear_Breezy 0 3.05</t>
  </si>
  <si>
    <t>0.79</t>
  </si>
  <si>
    <t>12 Cloudy_Calm 4.46 0</t>
  </si>
  <si>
    <t>4.94</t>
  </si>
  <si>
    <t>12 Hot_Clear 0 0.79</t>
  </si>
  <si>
    <t>0.49</t>
  </si>
  <si>
    <t>12 Hot_Cloudy 4.94 0</t>
  </si>
  <si>
    <t>2.32</t>
  </si>
  <si>
    <t>12 Hot_Hazy 0.49 0</t>
  </si>
  <si>
    <t>6.38</t>
  </si>
  <si>
    <t>12 Mild_Balanced 0 2.32</t>
  </si>
  <si>
    <t>2.95</t>
  </si>
  <si>
    <t>12 Overcast_Windy 6.38 0</t>
  </si>
  <si>
    <t>13</t>
  </si>
  <si>
    <t>4.12</t>
  </si>
  <si>
    <t>12 Storm_PM 2.95 0</t>
  </si>
  <si>
    <t>4.1</t>
  </si>
  <si>
    <t>13 Clear_Breezy 0 4.12</t>
  </si>
  <si>
    <t>1.57</t>
  </si>
  <si>
    <t>13 Cloudy_Calm 4.1 0</t>
  </si>
  <si>
    <t>4.34</t>
  </si>
  <si>
    <t>13 Hot_Clear 0 1.57</t>
  </si>
  <si>
    <t>13 Hot_Cloudy 4.34 0</t>
  </si>
  <si>
    <t>3.45</t>
  </si>
  <si>
    <t>13 Hot_Hazy 0 0</t>
  </si>
  <si>
    <t>5.95</t>
  </si>
  <si>
    <t>13 Mild_Balanced 0 3.45</t>
  </si>
  <si>
    <t>6.79</t>
  </si>
  <si>
    <t>13 Overcast_Windy 5.95 0</t>
  </si>
  <si>
    <t>14</t>
  </si>
  <si>
    <t>13 Storm_PM 6.79 0</t>
  </si>
  <si>
    <t>4.64</t>
  </si>
  <si>
    <t>14 Clear_Breezy 0 3.77</t>
  </si>
  <si>
    <t>1.15</t>
  </si>
  <si>
    <t>14 Cloudy_Calm 4.64 0</t>
  </si>
  <si>
    <t>14 Hot_Clear 0 1.15</t>
  </si>
  <si>
    <t>0.66</t>
  </si>
  <si>
    <t>14 Hot_Cloudy 4.89 0</t>
  </si>
  <si>
    <t>3.23</t>
  </si>
  <si>
    <t>14 Hot_Hazy 0.66 0</t>
  </si>
  <si>
    <t>6.18</t>
  </si>
  <si>
    <t>14 Mild_Balanced 0 3.23</t>
  </si>
  <si>
    <t>11.13</t>
  </si>
  <si>
    <t>14 Overcast_Windy 6.18 0</t>
  </si>
  <si>
    <t>15</t>
  </si>
  <si>
    <t>2.84</t>
  </si>
  <si>
    <t>14 Storm_PM 11.13 0</t>
  </si>
  <si>
    <t>5.526</t>
  </si>
  <si>
    <t>15 Clear_Breezy 0 2.84</t>
  </si>
  <si>
    <t>15 Cloudy_Calm 5.526 0</t>
  </si>
  <si>
    <t>6.134</t>
  </si>
  <si>
    <t>15 Hot_Clear 0 0</t>
  </si>
  <si>
    <t>2.176</t>
  </si>
  <si>
    <t>15 Hot_Cloudy 6.134 0</t>
  </si>
  <si>
    <t>2.368</t>
  </si>
  <si>
    <t>15 Hot_Hazy 2.176 0</t>
  </si>
  <si>
    <t>6.558</t>
  </si>
  <si>
    <t>15 Mild_Balanced 0 2.368</t>
  </si>
  <si>
    <t>11.646</t>
  </si>
  <si>
    <t>15 Overcast_Windy 6.558 0</t>
  </si>
  <si>
    <t>16</t>
  </si>
  <si>
    <t>2.718</t>
  </si>
  <si>
    <t>15 Storm_PM 11.646 0</t>
  </si>
  <si>
    <t>5.824</t>
  </si>
  <si>
    <t>16 Clear_Breezy 0 2.718</t>
  </si>
  <si>
    <t>0.43</t>
  </si>
  <si>
    <t>16 Cloudy_Calm 5.824 0</t>
  </si>
  <si>
    <t>5.908</t>
  </si>
  <si>
    <t>16 Hot_Clear 0.43 0</t>
  </si>
  <si>
    <t>3.226</t>
  </si>
  <si>
    <t>16 Hot_Cloudy 5.908 0</t>
  </si>
  <si>
    <t>2.408</t>
  </si>
  <si>
    <t>16 Hot_Hazy 3.226 0</t>
  </si>
  <si>
    <t>4.562</t>
  </si>
  <si>
    <t>16 Mild_Balanced 0 2.408</t>
  </si>
  <si>
    <t>7.374</t>
  </si>
  <si>
    <t>16 Overcast_Windy 4.562 0</t>
  </si>
  <si>
    <t>17</t>
  </si>
  <si>
    <t>0.688</t>
  </si>
  <si>
    <t>16 Storm_PM 7.374 0</t>
  </si>
  <si>
    <t>8.26</t>
  </si>
  <si>
    <t>17 Clear_Breezy 0.688 0</t>
  </si>
  <si>
    <t>4.25</t>
  </si>
  <si>
    <t>17 Cloudy_Calm 8.26 0</t>
  </si>
  <si>
    <t>8.55</t>
  </si>
  <si>
    <t>17 Hot_Clear 4.25 0</t>
  </si>
  <si>
    <t>17 Hot_Cloudy 8.55 0</t>
  </si>
  <si>
    <t>0.83</t>
  </si>
  <si>
    <t>17 Hot_Hazy 7 0</t>
  </si>
  <si>
    <t>5.83</t>
  </si>
  <si>
    <t>17 Mild_Balanced 0.83 0</t>
  </si>
  <si>
    <t>6.77</t>
  </si>
  <si>
    <t>17 Overcast_Windy 5.83 0</t>
  </si>
  <si>
    <t>18</t>
  </si>
  <si>
    <t>4.992</t>
  </si>
  <si>
    <t>17 Storm_PM 6.77 0</t>
  </si>
  <si>
    <t>10.886</t>
  </si>
  <si>
    <t>18 Clear_Breezy 4.992 0</t>
  </si>
  <si>
    <t>8.63</t>
  </si>
  <si>
    <t>18 Cloudy_Calm 10.886 0</t>
  </si>
  <si>
    <t>11.214</t>
  </si>
  <si>
    <t>18 Hot_Clear 8.63 0</t>
  </si>
  <si>
    <t>11.1</t>
  </si>
  <si>
    <t>18 Hot_Cloudy 11.214 0</t>
  </si>
  <si>
    <t>4.852</t>
  </si>
  <si>
    <t>18 Hot_Hazy 11.1 0</t>
  </si>
  <si>
    <t>7.184</t>
  </si>
  <si>
    <t>18 Mild_Balanced 4.852 0</t>
  </si>
  <si>
    <t>6.89</t>
  </si>
  <si>
    <t>18 Overcast_Windy 7.184 0</t>
  </si>
  <si>
    <t>19</t>
  </si>
  <si>
    <t>7.948</t>
  </si>
  <si>
    <t>18 Storm_PM 6.89 0</t>
  </si>
  <si>
    <t>12.348</t>
  </si>
  <si>
    <t>19 Clear_Breezy 7.948 0</t>
  </si>
  <si>
    <t>11.49</t>
  </si>
  <si>
    <t>19 Cloudy_Calm 12.348 0</t>
  </si>
  <si>
    <t>12.374</t>
  </si>
  <si>
    <t>19 Hot_Clear 11.49 0</t>
  </si>
  <si>
    <t>13.582</t>
  </si>
  <si>
    <t>19 Hot_Cloudy 12.374 0</t>
  </si>
  <si>
    <t>7.844</t>
  </si>
  <si>
    <t>19 Hot_Hazy 13.582 0</t>
  </si>
  <si>
    <t>7.496</t>
  </si>
  <si>
    <t>19 Mild_Balanced 7.844 0</t>
  </si>
  <si>
    <t>7.718</t>
  </si>
  <si>
    <t>19 Overcast_Windy 7.496 0</t>
  </si>
  <si>
    <t>20</t>
  </si>
  <si>
    <t>9.084</t>
  </si>
  <si>
    <t>19 Storm_PM 7.718 0</t>
  </si>
  <si>
    <t>12.596</t>
  </si>
  <si>
    <t>20 Clear_Breezy 9.084 0</t>
  </si>
  <si>
    <t>12.38</t>
  </si>
  <si>
    <t>20 Cloudy_Calm 12.596 0</t>
  </si>
  <si>
    <t>12.008</t>
  </si>
  <si>
    <t>20 Hot_Clear 12.38 0</t>
  </si>
  <si>
    <t>14.096</t>
  </si>
  <si>
    <t>20 Hot_Cloudy 12.008 0</t>
  </si>
  <si>
    <t>9.176</t>
  </si>
  <si>
    <t>20 Hot_Hazy 14.096 0</t>
  </si>
  <si>
    <t>6.94</t>
  </si>
  <si>
    <t>20 Mild_Balanced 9.176 0</t>
  </si>
  <si>
    <t>8.974</t>
  </si>
  <si>
    <t>20 Overcast_Windy 6.94 0</t>
  </si>
  <si>
    <t>21</t>
  </si>
  <si>
    <t>7.298</t>
  </si>
  <si>
    <t>20 Storm_PM 8.974 0</t>
  </si>
  <si>
    <t>11.256</t>
  </si>
  <si>
    <t>21 Clear_Breezy 7.298 0</t>
  </si>
  <si>
    <t>10.31</t>
  </si>
  <si>
    <t>21 Cloudy_Calm 11.256 0</t>
  </si>
  <si>
    <t>9.998</t>
  </si>
  <si>
    <t>21 Hot_Clear 10.31 0</t>
  </si>
  <si>
    <t>12.108</t>
  </si>
  <si>
    <t>21 Hot_Cloudy 9.998 0</t>
  </si>
  <si>
    <t>7.838</t>
  </si>
  <si>
    <t>21 Hot_Hazy 12.108 0</t>
  </si>
  <si>
    <t>5.28</t>
  </si>
  <si>
    <t>21 Mild_Balanced 7.838 0</t>
  </si>
  <si>
    <t>8.064</t>
  </si>
  <si>
    <t>21 Overcast_Windy 5.28 0</t>
  </si>
  <si>
    <t>22</t>
  </si>
  <si>
    <t>5.296</t>
  </si>
  <si>
    <t>21 Storm_PM 8.064 0</t>
  </si>
  <si>
    <t>9.504</t>
  </si>
  <si>
    <t>22 Clear_Breezy 5.296 0</t>
  </si>
  <si>
    <t>8.11</t>
  </si>
  <si>
    <t>22 Cloudy_Calm 9.504 0</t>
  </si>
  <si>
    <t>7.886</t>
  </si>
  <si>
    <t>22 Hot_Clear 8.11 0</t>
  </si>
  <si>
    <t>10.102</t>
  </si>
  <si>
    <t>22 Hot_Cloudy 7.886 0</t>
  </si>
  <si>
    <t>6.194</t>
  </si>
  <si>
    <t>22 Hot_Hazy 10.102 0</t>
  </si>
  <si>
    <t>3.348</t>
  </si>
  <si>
    <t>22 Mild_Balanced 6.194 0</t>
  </si>
  <si>
    <t>6.81</t>
  </si>
  <si>
    <t>22 Overcast_Windy 3.348 0</t>
  </si>
  <si>
    <t>23</t>
  </si>
  <si>
    <t>3.514</t>
  </si>
  <si>
    <t>22 Storm_PM 6.81 0</t>
  </si>
  <si>
    <t>7.72</t>
  </si>
  <si>
    <t>23 Clear_Breezy 3.514 0</t>
  </si>
  <si>
    <t>6.01</t>
  </si>
  <si>
    <t>23 Cloudy_Calm 7.72 0</t>
  </si>
  <si>
    <t>5.808</t>
  </si>
  <si>
    <t>23 Hot_Clear 6.01 0</t>
  </si>
  <si>
    <t>8.004</t>
  </si>
  <si>
    <t>23 Hot_Cloudy 5.808 0</t>
  </si>
  <si>
    <t>4.52</t>
  </si>
  <si>
    <t>23 Hot_Hazy 8.004 0</t>
  </si>
  <si>
    <t>1.572</t>
  </si>
  <si>
    <t>23 Mild_Balanced 4.52 0</t>
  </si>
  <si>
    <t>5.54</t>
  </si>
  <si>
    <t>23 Overcast_Windy 1.572 0</t>
  </si>
  <si>
    <t>24</t>
  </si>
  <si>
    <t>1.914</t>
  </si>
  <si>
    <t>23 Storm_PM 5.54 0</t>
  </si>
  <si>
    <t>6.02</t>
  </si>
  <si>
    <t>24 Clear_Breezy 1.914 0</t>
  </si>
  <si>
    <t>4.09</t>
  </si>
  <si>
    <t>24 Cloudy_Calm 6.02 0</t>
  </si>
  <si>
    <t>3.868</t>
  </si>
  <si>
    <t>24 Hot_Clear 4.09 0</t>
  </si>
  <si>
    <t>6.044</t>
  </si>
  <si>
    <t>24 Hot_Cloudy 3.868 0</t>
  </si>
  <si>
    <t>2.92</t>
  </si>
  <si>
    <t>24 Hot_Hazy 6.044 0</t>
  </si>
  <si>
    <t>0.008</t>
  </si>
  <si>
    <t>24 Mild_Balanced 2.92 0</t>
  </si>
  <si>
    <t>3.916</t>
  </si>
  <si>
    <t>24 Overcast_Windy 0 0.008</t>
  </si>
  <si>
    <t>24 Storm_PM 3.916 0</t>
  </si>
  <si>
    <t>Clear Breezy G</t>
  </si>
  <si>
    <t>Clear Breezy E</t>
  </si>
  <si>
    <t>Cloudy Calm G</t>
  </si>
  <si>
    <t>Cloudy Calm E</t>
  </si>
  <si>
    <t>Hot Clear G</t>
  </si>
  <si>
    <t>Hot Clear E</t>
  </si>
  <si>
    <t>Hot Cloudy G</t>
  </si>
  <si>
    <t>Hot Cloudy E</t>
  </si>
  <si>
    <t>Hot Hazy G</t>
  </si>
  <si>
    <t>Hot Hazy E</t>
  </si>
  <si>
    <t>Mild Balanced G</t>
  </si>
  <si>
    <t>Mild Balanced E</t>
  </si>
  <si>
    <t>Overcast Windy G</t>
  </si>
  <si>
    <t>Overcast Windy E</t>
  </si>
  <si>
    <t>Storm PM G</t>
  </si>
  <si>
    <t>Storm PM E</t>
  </si>
  <si>
    <t xml:space="preserve">total cost: </t>
  </si>
  <si>
    <t>Expected Value Model</t>
  </si>
  <si>
    <t>Gurobi, 46 iterations</t>
  </si>
  <si>
    <t>Wait-and-See deterministic Model</t>
  </si>
  <si>
    <t>Gurobi, 6 iterations</t>
  </si>
  <si>
    <t>EV-scens for splitting</t>
  </si>
  <si>
    <t>SCEN</t>
  </si>
  <si>
    <t>1 0 14</t>
  </si>
  <si>
    <t>2 0 14</t>
  </si>
  <si>
    <t>3 0 14</t>
  </si>
  <si>
    <t>4 0 14</t>
  </si>
  <si>
    <t>5 0 14</t>
  </si>
  <si>
    <t>6 0 14</t>
  </si>
  <si>
    <t>7 0 14</t>
  </si>
  <si>
    <t>8 0 14</t>
  </si>
  <si>
    <t>9 20 14</t>
  </si>
  <si>
    <t>10 20 14</t>
  </si>
  <si>
    <t>11 20 14</t>
  </si>
  <si>
    <t>12 20 6.22363</t>
  </si>
  <si>
    <t>13 20 5.00841</t>
  </si>
  <si>
    <t>14 20 9.44132</t>
  </si>
  <si>
    <t>15 20 14</t>
  </si>
  <si>
    <t>16 20 14</t>
  </si>
  <si>
    <t>17 20 14</t>
  </si>
  <si>
    <t>18 20 14</t>
  </si>
  <si>
    <t>19 20 14</t>
  </si>
  <si>
    <t>20 0 14</t>
  </si>
  <si>
    <t>21 0 14</t>
  </si>
  <si>
    <t>22 0 14</t>
  </si>
  <si>
    <t>23 0 14</t>
  </si>
  <si>
    <t>24 0 14</t>
  </si>
  <si>
    <t>Clear Breezy</t>
  </si>
  <si>
    <t>Mild Balance E</t>
  </si>
  <si>
    <t>Hot Clear</t>
  </si>
  <si>
    <t>Scenario</t>
  </si>
  <si>
    <t>Total Cost</t>
  </si>
  <si>
    <t>Hot Hazy</t>
  </si>
  <si>
    <t>Hot Cloudy</t>
  </si>
  <si>
    <t>Storm PM</t>
  </si>
  <si>
    <t>Mild Balanced</t>
  </si>
  <si>
    <t>Overcast Windy</t>
  </si>
  <si>
    <t>Cloudy Calm</t>
  </si>
  <si>
    <t>Clear Breez G</t>
  </si>
  <si>
    <t>1 0 0</t>
  </si>
  <si>
    <t>2 0 0</t>
  </si>
  <si>
    <t>3 0 0</t>
  </si>
  <si>
    <t>4 0 0</t>
  </si>
  <si>
    <t>5 0 0</t>
  </si>
  <si>
    <t>6 0 0</t>
  </si>
  <si>
    <t>7 0 0</t>
  </si>
  <si>
    <t>8 0 0</t>
  </si>
  <si>
    <t>9 0 0</t>
  </si>
  <si>
    <t>10 20 0</t>
  </si>
  <si>
    <t>11 20 0</t>
  </si>
  <si>
    <t>12 20 0</t>
  </si>
  <si>
    <t>13 20 0</t>
  </si>
  <si>
    <t>14 20 14</t>
  </si>
  <si>
    <t>19 0 14</t>
  </si>
  <si>
    <t>3 0 13.7234</t>
  </si>
  <si>
    <t>4 0 13.4982</t>
  </si>
  <si>
    <t>10 20 13.04</t>
  </si>
  <si>
    <t>11 19.4315 0</t>
  </si>
  <si>
    <t>12 16.4244 0</t>
  </si>
  <si>
    <t>13 15.5983 0</t>
  </si>
  <si>
    <t>14 16.0232 0</t>
  </si>
  <si>
    <t>15 17.3068 0</t>
  </si>
  <si>
    <t>16 20 2.7686</t>
  </si>
  <si>
    <t>11 20 7.14286</t>
  </si>
  <si>
    <t>12 19.0366 0</t>
  </si>
  <si>
    <t>13 18.2556 0</t>
  </si>
  <si>
    <t>14 18.75 0</t>
  </si>
  <si>
    <t>15 20 2</t>
  </si>
  <si>
    <t>9 0 14</t>
  </si>
  <si>
    <t>12 20 14</t>
  </si>
  <si>
    <t>13 20 14</t>
  </si>
  <si>
    <t>9 20 0</t>
  </si>
  <si>
    <t>14 20 4.45946</t>
  </si>
  <si>
    <t>11 20 1.14286</t>
  </si>
  <si>
    <t>12 17.0818 0</t>
  </si>
  <si>
    <t>13 16.0481 0</t>
  </si>
  <si>
    <t>14 16.342 0</t>
  </si>
  <si>
    <t>15 17.6316 0</t>
  </si>
  <si>
    <t>16 20 3.39207</t>
  </si>
  <si>
    <t>1 0 12.2571</t>
  </si>
  <si>
    <t>2 0 11.5467</t>
  </si>
  <si>
    <t>3 0 11.1702</t>
  </si>
  <si>
    <t>4 0 10.9668</t>
  </si>
  <si>
    <t>5 0 11.8357</t>
  </si>
  <si>
    <t>24 0 13.9877</t>
  </si>
  <si>
    <t>11 20 11.4719</t>
  </si>
  <si>
    <t>12 20 13.5321</t>
  </si>
  <si>
    <t>Clear Breezy xS</t>
  </si>
  <si>
    <t>Combined Solar Commitments</t>
  </si>
  <si>
    <t>Combined Wind Commitments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</si>
</sst>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rgb="FF000000"/>
      <name val="Consolas"/>
      <family val="3"/>
    </font>
    <font>
      <sz val="10"/>
      <color theme="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7" fillId="2" borderId="0" xfId="0" applyFont="1" applyFill="1" applyAlignment="1">
      <alignment vertical="center"/>
    </xf>
    <xf numFmtId="164" fontId="0" fillId="0" borderId="0" xfId="0" applyNumberFormat="1"/>
    <xf numFmtId="0" fontId="6" fillId="0" borderId="0" xfId="0" applyFont="1"/>
    <xf numFmtId="164" fontId="6" fillId="0" borderId="0" xfId="0" applyNumberFormat="1" applyFont="1" applyAlignment="1">
      <alignment vertical="center"/>
    </xf>
    <xf numFmtId="4" fontId="0" fillId="0" borderId="0" xfId="0" applyNumberFormat="1"/>
    <xf numFmtId="0" fontId="0" fillId="0" borderId="1" xfId="0" applyBorder="1"/>
    <xf numFmtId="0" fontId="6" fillId="0" borderId="0" xfId="0" applyFont="1" applyAlignment="1">
      <alignment vertical="center"/>
    </xf>
    <xf numFmtId="0" fontId="0" fillId="3" borderId="0" xfId="0" applyFill="1"/>
    <xf numFmtId="0" fontId="0" fillId="5" borderId="0" xfId="0" applyFill="1"/>
    <xf numFmtId="0" fontId="0" fillId="4" borderId="0" xfId="0" applyFill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Stochastic Model</a:t>
            </a:r>
            <a:r>
              <a:rPr lang="en-US" baseline="0"/>
              <a:t> </a:t>
            </a:r>
            <a:r>
              <a:rPr lang="en-US"/>
              <a:t>Commitment Schedules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'stoch-sched'!$B$4</c:f>
              <c:strCache>
                <c:ptCount val="1"/>
                <c:pt idx="0">
                  <c:v>xS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'stoch-sched'!$A$5:$A$28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'stoch-sched'!$B$5:$B$28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1-4E4E-A8C1-9B0D5B3D2B4D}"/>
            </c:ext>
          </c:extLst>
        </c:ser>
        <c:ser>
          <c:idx val="1"/>
          <c:order val="1"/>
          <c:tx>
            <c:strRef>
              <c:f>'stoch-sched'!$C$4</c:f>
              <c:strCache>
                <c:ptCount val="1"/>
                <c:pt idx="0">
                  <c:v>xW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'stoch-sched'!$A$5:$A$28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'stoch-sched'!$C$5:$C$28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13.7234</c:v>
                </c:pt>
                <c:pt idx="3">
                  <c:v>13.498200000000001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13.04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1-4E4E-A8C1-9B0D5B3D2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893119"/>
        <c:axId val="1549881599"/>
      </c:lineChart>
      <c:catAx>
        <c:axId val="154989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9881599"/>
        <c:crosses val="autoZero"/>
        <c:auto val="1"/>
        <c:lblAlgn val="ctr"/>
        <c:lblOffset val="100"/>
        <c:noMultiLvlLbl val="0"/>
      </c:catAx>
      <c:valAx>
        <c:axId val="1549881599"/>
        <c:scaling>
          <c:orientation val="minMax"/>
          <c:max val="2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Energy Commitment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98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Solar Commitment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'stoch-sched'!$B$4</c:f>
              <c:strCache>
                <c:ptCount val="1"/>
                <c:pt idx="0">
                  <c:v>xS</c:v>
                </c:pt>
              </c:strCache>
            </c:strRef>
          </c:tx>
          <c:spPr>
            <a:ln w="19050" cap="rnd">
              <a:solidFill>
                <a:schemeClr val="accent6">
                  <a:alpha val="9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'stoch-sched'!$A$5:$A$28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'stoch-sched'!$B$5:$B$28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9-451A-B5C8-688C6AA6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63695"/>
        <c:axId val="229668975"/>
      </c:scatterChart>
      <c:valAx>
        <c:axId val="229663695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9668975"/>
        <c:crosses val="autoZero"/>
        <c:crossBetween val="midCat"/>
      </c:valAx>
      <c:valAx>
        <c:axId val="2296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Solar Blocks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966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Wind Commitment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'stoch-sched'!$C$4</c:f>
              <c:strCache>
                <c:ptCount val="1"/>
                <c:pt idx="0">
                  <c:v>xW</c:v>
                </c:pt>
              </c:strCache>
            </c:strRef>
          </c:tx>
          <c:spPr>
            <a:ln w="19050" cap="rnd">
              <a:solidFill>
                <a:schemeClr val="accent5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'stoch-sched'!$A$5:$A$28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'stoch-sched'!$C$5:$C$28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13.7234</c:v>
                </c:pt>
                <c:pt idx="3">
                  <c:v>13.498200000000001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13.04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F-4051-936B-D69E0138C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659775"/>
        <c:axId val="476650655"/>
      </c:scatterChart>
      <c:valAx>
        <c:axId val="476659775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6650655"/>
        <c:crosses val="autoZero"/>
        <c:crossBetween val="midCat"/>
      </c:valAx>
      <c:valAx>
        <c:axId val="4766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Commited Blocks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665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AMPL Stochastic Scenario-based Grid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'stoch-recourse'!$B$1</c:f>
              <c:strCache>
                <c:ptCount val="1"/>
                <c:pt idx="0">
                  <c:v>Clear Breezy 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'stoch-recourse'!$B$2:$B$25</c:f>
              <c:numCache>
                <c:formatCode>General</c:formatCode>
                <c:ptCount val="24"/>
                <c:pt idx="0">
                  <c:v>0.71199999999999997</c:v>
                </c:pt>
                <c:pt idx="1">
                  <c:v>8.5999999999999993E-2</c:v>
                </c:pt>
                <c:pt idx="2">
                  <c:v>0</c:v>
                </c:pt>
                <c:pt idx="3">
                  <c:v>0</c:v>
                </c:pt>
                <c:pt idx="4">
                  <c:v>0.33400000000000002</c:v>
                </c:pt>
                <c:pt idx="5">
                  <c:v>1.65</c:v>
                </c:pt>
                <c:pt idx="6">
                  <c:v>3.6120000000000001</c:v>
                </c:pt>
                <c:pt idx="7">
                  <c:v>5.7359999999999998</c:v>
                </c:pt>
                <c:pt idx="8">
                  <c:v>2.5619999999999998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0.68799999999999994</c:v>
                </c:pt>
                <c:pt idx="17">
                  <c:v>4.992</c:v>
                </c:pt>
                <c:pt idx="18">
                  <c:v>7.9480000000000004</c:v>
                </c:pt>
                <c:pt idx="19">
                  <c:v>9.0839999999999996</c:v>
                </c:pt>
                <c:pt idx="20">
                  <c:v>7.298</c:v>
                </c:pt>
                <c:pt idx="21">
                  <c:v>5.2960000000000003</c:v>
                </c:pt>
                <c:pt idx="22">
                  <c:v>3.5139999999999998</c:v>
                </c:pt>
                <c:pt idx="23">
                  <c:v>1.9139999999999999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CC4-B113-8CF57338C40D}"/>
            </c:ext>
          </c:extLst>
        </c:ser>
        <c:ser>
          <c:idx val="2"/>
          <c:order val="1"/>
          <c:tx>
            <c:strRef>
              <c:f>'stoch-recourse'!$D$1</c:f>
              <c:strCache>
                <c:ptCount val="1"/>
                <c:pt idx="0">
                  <c:v>Cloudy Calm 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'stoch-recourse'!$D$2:$D$25</c:f>
              <c:numCache>
                <c:formatCode>General</c:formatCode>
                <c:ptCount val="24"/>
                <c:pt idx="0">
                  <c:v>4.7039999999999997</c:v>
                </c:pt>
                <c:pt idx="1">
                  <c:v>4.2359999999999998</c:v>
                </c:pt>
                <c:pt idx="2">
                  <c:v>4.03</c:v>
                </c:pt>
                <c:pt idx="3">
                  <c:v>3.9125100000000002</c:v>
                </c:pt>
                <c:pt idx="4">
                  <c:v>3.91</c:v>
                </c:pt>
                <c:pt idx="5">
                  <c:v>4.6340000000000003</c:v>
                </c:pt>
                <c:pt idx="6">
                  <c:v>6.0839999999999996</c:v>
                </c:pt>
                <c:pt idx="7">
                  <c:v>7.7480000000000002</c:v>
                </c:pt>
                <c:pt idx="8">
                  <c:v>6.6159999999999997</c:v>
                </c:pt>
                <c:pt idx="9">
                  <c:v>5.5040800000000001</c:v>
                </c:pt>
                <c:pt idx="10">
                  <c:v>5.94</c:v>
                </c:pt>
                <c:pt idx="11">
                  <c:v>4.46</c:v>
                </c:pt>
                <c:pt idx="12">
                  <c:v>4.0999999999999996</c:v>
                </c:pt>
                <c:pt idx="13">
                  <c:v>4.6399999999999997</c:v>
                </c:pt>
                <c:pt idx="14">
                  <c:v>5.5259999999999998</c:v>
                </c:pt>
                <c:pt idx="15">
                  <c:v>5.8239999999999998</c:v>
                </c:pt>
                <c:pt idx="16">
                  <c:v>8.26</c:v>
                </c:pt>
                <c:pt idx="17">
                  <c:v>10.885999999999999</c:v>
                </c:pt>
                <c:pt idx="18">
                  <c:v>12.348000000000001</c:v>
                </c:pt>
                <c:pt idx="19">
                  <c:v>12.596</c:v>
                </c:pt>
                <c:pt idx="20">
                  <c:v>11.256</c:v>
                </c:pt>
                <c:pt idx="21">
                  <c:v>9.5039999999999996</c:v>
                </c:pt>
                <c:pt idx="22">
                  <c:v>7.72</c:v>
                </c:pt>
                <c:pt idx="23">
                  <c:v>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A-4CC4-B113-8CF57338C40D}"/>
            </c:ext>
          </c:extLst>
        </c:ser>
        <c:ser>
          <c:idx val="4"/>
          <c:order val="2"/>
          <c:tx>
            <c:strRef>
              <c:f>'stoch-recourse'!$F$1</c:f>
              <c:strCache>
                <c:ptCount val="1"/>
                <c:pt idx="0">
                  <c:v>Hot Clear 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'stoch-recourse'!$F$2:$F$25</c:f>
              <c:numCache>
                <c:formatCode>General</c:formatCode>
                <c:ptCount val="24"/>
                <c:pt idx="0">
                  <c:v>2.74</c:v>
                </c:pt>
                <c:pt idx="1">
                  <c:v>2.15</c:v>
                </c:pt>
                <c:pt idx="2">
                  <c:v>1.92</c:v>
                </c:pt>
                <c:pt idx="3">
                  <c:v>1.7908500000000001</c:v>
                </c:pt>
                <c:pt idx="4">
                  <c:v>1.93</c:v>
                </c:pt>
                <c:pt idx="5">
                  <c:v>3.02</c:v>
                </c:pt>
                <c:pt idx="6">
                  <c:v>4.8899999999999997</c:v>
                </c:pt>
                <c:pt idx="7">
                  <c:v>7.08</c:v>
                </c:pt>
                <c:pt idx="8">
                  <c:v>4.0199999999999996</c:v>
                </c:pt>
                <c:pt idx="9">
                  <c:v>1.7103999999999999</c:v>
                </c:pt>
                <c:pt idx="10">
                  <c:v>1.5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0.43</c:v>
                </c:pt>
                <c:pt idx="16">
                  <c:v>4.25</c:v>
                </c:pt>
                <c:pt idx="17">
                  <c:v>8.6300000000000008</c:v>
                </c:pt>
                <c:pt idx="18">
                  <c:v>11.49</c:v>
                </c:pt>
                <c:pt idx="19">
                  <c:v>12.38</c:v>
                </c:pt>
                <c:pt idx="20">
                  <c:v>10.31</c:v>
                </c:pt>
                <c:pt idx="21">
                  <c:v>8.11</c:v>
                </c:pt>
                <c:pt idx="22">
                  <c:v>6.01</c:v>
                </c:pt>
                <c:pt idx="23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9A-4CC4-B113-8CF57338C40D}"/>
            </c:ext>
          </c:extLst>
        </c:ser>
        <c:ser>
          <c:idx val="6"/>
          <c:order val="3"/>
          <c:tx>
            <c:strRef>
              <c:f>'stoch-recourse'!$H$1</c:f>
              <c:strCache>
                <c:ptCount val="1"/>
                <c:pt idx="0">
                  <c:v>Hot Cloudy 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'stoch-recourse'!$H$2:$H$25</c:f>
              <c:numCache>
                <c:formatCode>General</c:formatCode>
                <c:ptCount val="24"/>
                <c:pt idx="0">
                  <c:v>2.5219999999999998</c:v>
                </c:pt>
                <c:pt idx="1">
                  <c:v>1.9079999999999999</c:v>
                </c:pt>
                <c:pt idx="2">
                  <c:v>1.6706399999999999</c:v>
                </c:pt>
                <c:pt idx="3">
                  <c:v>1.5468900000000001</c:v>
                </c:pt>
                <c:pt idx="4">
                  <c:v>1.758</c:v>
                </c:pt>
                <c:pt idx="5">
                  <c:v>2.9279999999999999</c:v>
                </c:pt>
                <c:pt idx="6">
                  <c:v>4.8920000000000003</c:v>
                </c:pt>
                <c:pt idx="7">
                  <c:v>7.1479999999999997</c:v>
                </c:pt>
                <c:pt idx="8">
                  <c:v>6.06</c:v>
                </c:pt>
                <c:pt idx="9">
                  <c:v>5.2603999999999997</c:v>
                </c:pt>
                <c:pt idx="10">
                  <c:v>6.4</c:v>
                </c:pt>
                <c:pt idx="11">
                  <c:v>4.9400000000000004</c:v>
                </c:pt>
                <c:pt idx="12">
                  <c:v>4.34</c:v>
                </c:pt>
                <c:pt idx="13">
                  <c:v>4.8899999999999997</c:v>
                </c:pt>
                <c:pt idx="14">
                  <c:v>6.1340000000000003</c:v>
                </c:pt>
                <c:pt idx="15">
                  <c:v>5.9080000000000004</c:v>
                </c:pt>
                <c:pt idx="16">
                  <c:v>8.5500000000000007</c:v>
                </c:pt>
                <c:pt idx="17">
                  <c:v>11.214</c:v>
                </c:pt>
                <c:pt idx="18">
                  <c:v>12.374000000000001</c:v>
                </c:pt>
                <c:pt idx="19">
                  <c:v>12.007999999999999</c:v>
                </c:pt>
                <c:pt idx="20">
                  <c:v>9.9979999999999993</c:v>
                </c:pt>
                <c:pt idx="21">
                  <c:v>7.8860000000000001</c:v>
                </c:pt>
                <c:pt idx="22">
                  <c:v>5.8079999999999998</c:v>
                </c:pt>
                <c:pt idx="23">
                  <c:v>3.8679999999999999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9A-4CC4-B113-8CF57338C40D}"/>
            </c:ext>
          </c:extLst>
        </c:ser>
        <c:ser>
          <c:idx val="8"/>
          <c:order val="4"/>
          <c:tx>
            <c:strRef>
              <c:f>'stoch-recourse'!$J$1</c:f>
              <c:strCache>
                <c:ptCount val="1"/>
                <c:pt idx="0">
                  <c:v>Hot Hazy 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'stoch-recourse'!$J$2:$J$25</c:f>
              <c:numCache>
                <c:formatCode>General</c:formatCode>
                <c:ptCount val="24"/>
                <c:pt idx="0">
                  <c:v>4.6319999999999997</c:v>
                </c:pt>
                <c:pt idx="1">
                  <c:v>4.1159999999999997</c:v>
                </c:pt>
                <c:pt idx="2">
                  <c:v>3.82287</c:v>
                </c:pt>
                <c:pt idx="3">
                  <c:v>3.6281300000000001</c:v>
                </c:pt>
                <c:pt idx="4">
                  <c:v>3.77</c:v>
                </c:pt>
                <c:pt idx="5">
                  <c:v>4.7160000000000002</c:v>
                </c:pt>
                <c:pt idx="6">
                  <c:v>6.3819999999999997</c:v>
                </c:pt>
                <c:pt idx="7">
                  <c:v>8.3780000000000001</c:v>
                </c:pt>
                <c:pt idx="8">
                  <c:v>5.6779999999999999</c:v>
                </c:pt>
                <c:pt idx="9">
                  <c:v>3.3815200000000001</c:v>
                </c:pt>
                <c:pt idx="10">
                  <c:v>2.58</c:v>
                </c:pt>
                <c:pt idx="11">
                  <c:v>0.49</c:v>
                </c:pt>
                <c:pt idx="12">
                  <c:v>0</c:v>
                </c:pt>
                <c:pt idx="13">
                  <c:v>0.66</c:v>
                </c:pt>
                <c:pt idx="14">
                  <c:v>2.1760000000000002</c:v>
                </c:pt>
                <c:pt idx="15">
                  <c:v>3.226</c:v>
                </c:pt>
                <c:pt idx="16">
                  <c:v>7</c:v>
                </c:pt>
                <c:pt idx="17">
                  <c:v>11.1</c:v>
                </c:pt>
                <c:pt idx="18">
                  <c:v>13.582000000000001</c:v>
                </c:pt>
                <c:pt idx="19">
                  <c:v>14.096</c:v>
                </c:pt>
                <c:pt idx="20">
                  <c:v>12.108000000000001</c:v>
                </c:pt>
                <c:pt idx="21">
                  <c:v>10.102</c:v>
                </c:pt>
                <c:pt idx="22">
                  <c:v>8.0039999999999996</c:v>
                </c:pt>
                <c:pt idx="23">
                  <c:v>6.0439999999999996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9A-4CC4-B113-8CF57338C40D}"/>
            </c:ext>
          </c:extLst>
        </c:ser>
        <c:ser>
          <c:idx val="10"/>
          <c:order val="5"/>
          <c:tx>
            <c:strRef>
              <c:f>'stoch-recourse'!$L$1</c:f>
              <c:strCache>
                <c:ptCount val="1"/>
                <c:pt idx="0">
                  <c:v>Mild Balanced 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'stoch-recourse'!$L$2:$L$25</c:f>
              <c:numCache>
                <c:formatCode>General</c:formatCode>
                <c:ptCount val="24"/>
                <c:pt idx="0">
                  <c:v>1.74</c:v>
                </c:pt>
                <c:pt idx="1">
                  <c:v>1.18</c:v>
                </c:pt>
                <c:pt idx="2">
                  <c:v>0.98</c:v>
                </c:pt>
                <c:pt idx="3">
                  <c:v>0.86084799999999995</c:v>
                </c:pt>
                <c:pt idx="4">
                  <c:v>0.99</c:v>
                </c:pt>
                <c:pt idx="5">
                  <c:v>2.1</c:v>
                </c:pt>
                <c:pt idx="6">
                  <c:v>3.9380000000000002</c:v>
                </c:pt>
                <c:pt idx="7">
                  <c:v>5.8639999999999999</c:v>
                </c:pt>
                <c:pt idx="8">
                  <c:v>2.944</c:v>
                </c:pt>
                <c:pt idx="9">
                  <c:v>0.49647999999999998</c:v>
                </c:pt>
                <c:pt idx="10">
                  <c:v>0.24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0.83</c:v>
                </c:pt>
                <c:pt idx="17">
                  <c:v>4.8520000000000003</c:v>
                </c:pt>
                <c:pt idx="18">
                  <c:v>7.8440000000000003</c:v>
                </c:pt>
                <c:pt idx="19">
                  <c:v>9.1760000000000002</c:v>
                </c:pt>
                <c:pt idx="20">
                  <c:v>7.8380000000000001</c:v>
                </c:pt>
                <c:pt idx="21">
                  <c:v>6.194</c:v>
                </c:pt>
                <c:pt idx="22">
                  <c:v>4.5199999999999996</c:v>
                </c:pt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9A-4CC4-B113-8CF57338C40D}"/>
            </c:ext>
          </c:extLst>
        </c:ser>
        <c:ser>
          <c:idx val="12"/>
          <c:order val="6"/>
          <c:tx>
            <c:strRef>
              <c:f>'stoch-recourse'!$N$1</c:f>
              <c:strCache>
                <c:ptCount val="1"/>
                <c:pt idx="0">
                  <c:v>Overcast Windy 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'stoch-recourse'!$N$2:$N$25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0.14399999999999999</c:v>
                </c:pt>
                <c:pt idx="6">
                  <c:v>2.1960000000000002</c:v>
                </c:pt>
                <c:pt idx="7">
                  <c:v>4.41</c:v>
                </c:pt>
                <c:pt idx="8">
                  <c:v>4.47</c:v>
                </c:pt>
                <c:pt idx="9">
                  <c:v>4.60928</c:v>
                </c:pt>
                <c:pt idx="10">
                  <c:v>7.24</c:v>
                </c:pt>
                <c:pt idx="11">
                  <c:v>6.38</c:v>
                </c:pt>
                <c:pt idx="12">
                  <c:v>5.95</c:v>
                </c:pt>
                <c:pt idx="13">
                  <c:v>6.18</c:v>
                </c:pt>
                <c:pt idx="14">
                  <c:v>6.5579999999999998</c:v>
                </c:pt>
                <c:pt idx="15">
                  <c:v>4.5620000000000003</c:v>
                </c:pt>
                <c:pt idx="16">
                  <c:v>5.83</c:v>
                </c:pt>
                <c:pt idx="17">
                  <c:v>7.1840000000000002</c:v>
                </c:pt>
                <c:pt idx="18">
                  <c:v>7.4960000000000004</c:v>
                </c:pt>
                <c:pt idx="19">
                  <c:v>6.94</c:v>
                </c:pt>
                <c:pt idx="20">
                  <c:v>5.28</c:v>
                </c:pt>
                <c:pt idx="21">
                  <c:v>3.3479999999999999</c:v>
                </c:pt>
                <c:pt idx="22">
                  <c:v>1.5720000000000001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9A-4CC4-B113-8CF57338C40D}"/>
            </c:ext>
          </c:extLst>
        </c:ser>
        <c:ser>
          <c:idx val="14"/>
          <c:order val="7"/>
          <c:tx>
            <c:strRef>
              <c:f>'stoch-recourse'!$P$1</c:f>
              <c:strCache>
                <c:ptCount val="1"/>
                <c:pt idx="0">
                  <c:v>Storm PM 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'stoch-recourse'!$P$2:$P$25</c:f>
              <c:numCache>
                <c:formatCode>General</c:formatCode>
                <c:ptCount val="24"/>
                <c:pt idx="0">
                  <c:v>2.798</c:v>
                </c:pt>
                <c:pt idx="1">
                  <c:v>2.222</c:v>
                </c:pt>
                <c:pt idx="2">
                  <c:v>2.0193599999999998</c:v>
                </c:pt>
                <c:pt idx="3">
                  <c:v>1.8748100000000001</c:v>
                </c:pt>
                <c:pt idx="4">
                  <c:v>2.0219999999999998</c:v>
                </c:pt>
                <c:pt idx="5">
                  <c:v>3.0640000000000001</c:v>
                </c:pt>
                <c:pt idx="6">
                  <c:v>4.6980000000000004</c:v>
                </c:pt>
                <c:pt idx="7">
                  <c:v>6.64</c:v>
                </c:pt>
                <c:pt idx="8">
                  <c:v>3.528</c:v>
                </c:pt>
                <c:pt idx="9">
                  <c:v>1.40784</c:v>
                </c:pt>
                <c:pt idx="10">
                  <c:v>2.65</c:v>
                </c:pt>
                <c:pt idx="11">
                  <c:v>2.95</c:v>
                </c:pt>
                <c:pt idx="12">
                  <c:v>6.79</c:v>
                </c:pt>
                <c:pt idx="13">
                  <c:v>11.13</c:v>
                </c:pt>
                <c:pt idx="14">
                  <c:v>11.646000000000001</c:v>
                </c:pt>
                <c:pt idx="15">
                  <c:v>7.3739999999999997</c:v>
                </c:pt>
                <c:pt idx="16">
                  <c:v>6.77</c:v>
                </c:pt>
                <c:pt idx="17">
                  <c:v>6.89</c:v>
                </c:pt>
                <c:pt idx="18">
                  <c:v>7.718</c:v>
                </c:pt>
                <c:pt idx="19">
                  <c:v>8.9740000000000002</c:v>
                </c:pt>
                <c:pt idx="20">
                  <c:v>8.0640000000000001</c:v>
                </c:pt>
                <c:pt idx="21">
                  <c:v>6.81</c:v>
                </c:pt>
                <c:pt idx="22">
                  <c:v>5.54</c:v>
                </c:pt>
                <c:pt idx="23">
                  <c:v>3.9159999999999999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9A-4CC4-B113-8CF57338C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370191"/>
        <c:axId val="1041370671"/>
      </c:lineChart>
      <c:catAx>
        <c:axId val="104137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41370671"/>
        <c:crosses val="autoZero"/>
        <c:auto val="1"/>
        <c:lblAlgn val="ctr"/>
        <c:lblOffset val="100"/>
        <c:noMultiLvlLbl val="0"/>
      </c:catAx>
      <c:valAx>
        <c:axId val="10413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Purchased Energy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413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AMPL Stochastic Scenario-based Grid Export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'stoch-recourse'!$C$1</c:f>
              <c:strCache>
                <c:ptCount val="1"/>
                <c:pt idx="0">
                  <c:v>Clear Breezy E</c:v>
                </c:pt>
              </c:strCache>
            </c:strRef>
          </c:tx>
          <c:spPr>
            <a:ln w="28575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'stoch-recourse'!$C$2:$C$25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0.39</c:v>
                </c:pt>
                <c:pt idx="11">
                  <c:v>3.05</c:v>
                </c:pt>
                <c:pt idx="12">
                  <c:v>4.12</c:v>
                </c:pt>
                <c:pt idx="13">
                  <c:v>3.77</c:v>
                </c:pt>
                <c:pt idx="14">
                  <c:v>2.84</c:v>
                </c:pt>
                <c:pt idx="15">
                  <c:v>2.718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D-47A3-9E40-49D877C806A0}"/>
            </c:ext>
          </c:extLst>
        </c:ser>
        <c:ser>
          <c:idx val="3"/>
          <c:order val="1"/>
          <c:tx>
            <c:strRef>
              <c:f>'stoch-recourse'!$E$1</c:f>
              <c:strCache>
                <c:ptCount val="1"/>
                <c:pt idx="0">
                  <c:v>Cloudy Calm E</c:v>
                </c:pt>
              </c:strCache>
            </c:strRef>
          </c:tx>
          <c:spPr>
            <a:ln w="28575" cap="rnd">
              <a:solidFill>
                <a:schemeClr val="accent3">
                  <a:alpha val="9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99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'stoch-recourse'!$E$2:$E$25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D-47A3-9E40-49D877C806A0}"/>
            </c:ext>
          </c:extLst>
        </c:ser>
        <c:ser>
          <c:idx val="5"/>
          <c:order val="2"/>
          <c:tx>
            <c:strRef>
              <c:f>'stoch-recourse'!$G$1</c:f>
              <c:strCache>
                <c:ptCount val="1"/>
                <c:pt idx="0">
                  <c:v>Hot Clear E</c:v>
                </c:pt>
              </c:strCache>
            </c:strRef>
          </c:tx>
          <c:spPr>
            <a:ln w="28575" cap="rnd">
              <a:solidFill>
                <a:schemeClr val="accent5">
                  <a:alpha val="9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'stoch-recourse'!$G$2:$G$25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0.79</c:v>
                </c:pt>
                <c:pt idx="12">
                  <c:v>1.57</c:v>
                </c:pt>
                <c:pt idx="13">
                  <c:v>1.1499999999999999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8D-47A3-9E40-49D877C806A0}"/>
            </c:ext>
          </c:extLst>
        </c:ser>
        <c:ser>
          <c:idx val="7"/>
          <c:order val="3"/>
          <c:tx>
            <c:strRef>
              <c:f>'stoch-recourse'!$I$1</c:f>
              <c:strCache>
                <c:ptCount val="1"/>
                <c:pt idx="0">
                  <c:v>Hot Cloudy E</c:v>
                </c:pt>
              </c:strCache>
            </c:strRef>
          </c:tx>
          <c:spPr>
            <a:ln w="28575" cap="rnd">
              <a:solidFill>
                <a:schemeClr val="tx2">
                  <a:alpha val="9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'stoch-recourse'!$I$2:$I$25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8D-47A3-9E40-49D877C806A0}"/>
            </c:ext>
          </c:extLst>
        </c:ser>
        <c:ser>
          <c:idx val="9"/>
          <c:order val="4"/>
          <c:tx>
            <c:strRef>
              <c:f>'stoch-recourse'!$K$1</c:f>
              <c:strCache>
                <c:ptCount val="1"/>
                <c:pt idx="0">
                  <c:v>Hot Hazy 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'stoch-recourse'!$K$2:$K$25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8D-47A3-9E40-49D877C806A0}"/>
            </c:ext>
          </c:extLst>
        </c:ser>
        <c:ser>
          <c:idx val="11"/>
          <c:order val="5"/>
          <c:tx>
            <c:strRef>
              <c:f>'stoch-recourse'!$M$1</c:f>
              <c:strCache>
                <c:ptCount val="1"/>
                <c:pt idx="0">
                  <c:v>Mild Balanced 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'stoch-recourse'!$M$2:$M$25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2.3199999999999998</c:v>
                </c:pt>
                <c:pt idx="12">
                  <c:v>3.45</c:v>
                </c:pt>
                <c:pt idx="13">
                  <c:v>3.23</c:v>
                </c:pt>
                <c:pt idx="14">
                  <c:v>2.3679999999999999</c:v>
                </c:pt>
                <c:pt idx="15">
                  <c:v>2.4079999999999999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8D-47A3-9E40-49D877C806A0}"/>
            </c:ext>
          </c:extLst>
        </c:ser>
        <c:ser>
          <c:idx val="13"/>
          <c:order val="6"/>
          <c:tx>
            <c:strRef>
              <c:f>'stoch-recourse'!$O$1</c:f>
              <c:strCache>
                <c:ptCount val="1"/>
                <c:pt idx="0">
                  <c:v>Overcast Windy 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'stoch-recourse'!$O$2:$O$25</c:f>
              <c:numCache>
                <c:formatCode>General</c:formatCode>
                <c:ptCount val="24"/>
                <c:pt idx="0">
                  <c:v>1.1120000000000001</c:v>
                </c:pt>
                <c:pt idx="1">
                  <c:v>1.6020000000000001</c:v>
                </c:pt>
                <c:pt idx="2">
                  <c:v>1.68</c:v>
                </c:pt>
                <c:pt idx="3">
                  <c:v>1.6758299999999999</c:v>
                </c:pt>
                <c:pt idx="4">
                  <c:v>1.3440000000000001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8D-47A3-9E40-49D877C806A0}"/>
            </c:ext>
          </c:extLst>
        </c:ser>
        <c:ser>
          <c:idx val="15"/>
          <c:order val="7"/>
          <c:tx>
            <c:strRef>
              <c:f>'stoch-recourse'!$Q$1</c:f>
              <c:strCache>
                <c:ptCount val="1"/>
                <c:pt idx="0">
                  <c:v>Storm PM 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'stoch-recourse'!$A$2:$A$25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'stoch-recourse'!$Q$2:$Q$25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F8D-47A3-9E40-49D877C80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52575"/>
        <c:axId val="476657855"/>
      </c:lineChart>
      <c:catAx>
        <c:axId val="47665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6657855"/>
        <c:crosses val="autoZero"/>
        <c:auto val="1"/>
        <c:lblAlgn val="ctr"/>
        <c:lblOffset val="100"/>
        <c:noMultiLvlLbl val="0"/>
      </c:catAx>
      <c:valAx>
        <c:axId val="4766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Exported Energy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665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Expected Values Model Commitment Schedules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'EV-sched'!$B$4</c:f>
              <c:strCache>
                <c:ptCount val="1"/>
                <c:pt idx="0">
                  <c:v>xS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alpha val="98000"/>
                  </a:schemeClr>
                </a:solidFill>
              </a:ln>
              <a:effectLst/>
            </c:spPr>
          </c:marker>
          <c:cat>
            <c:numRef>
              <c:f>'EV-sched'!$A$5:$A$28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'EV-sched'!$B$5:$B$28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6-453B-8BFE-0EB12C68BF15}"/>
            </c:ext>
          </c:extLst>
        </c:ser>
        <c:ser>
          <c:idx val="1"/>
          <c:order val="1"/>
          <c:tx>
            <c:strRef>
              <c:f>'EV-sched'!$C$4</c:f>
              <c:strCache>
                <c:ptCount val="1"/>
                <c:pt idx="0">
                  <c:v>xW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'EV-sched'!$A$5:$A$28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'EV-sched'!$C$5:$C$28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6.22363</c:v>
                </c:pt>
                <c:pt idx="12">
                  <c:v>5.0084099999999996</c:v>
                </c:pt>
                <c:pt idx="13">
                  <c:v>9.4413199999999993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6-453B-8BFE-0EB12C68B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641823"/>
        <c:axId val="1037632703"/>
      </c:lineChart>
      <c:catAx>
        <c:axId val="103764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7632703"/>
        <c:crosses val="autoZero"/>
        <c:auto val="1"/>
        <c:lblAlgn val="ctr"/>
        <c:lblOffset val="100"/>
        <c:noMultiLvlLbl val="0"/>
      </c:catAx>
      <c:valAx>
        <c:axId val="1037632703"/>
        <c:scaling>
          <c:orientation val="minMax"/>
          <c:max val="2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Energy Commitment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764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AMPL Expected Value Grid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'EV-recourse'!$B$1</c:f>
              <c:strCache>
                <c:ptCount val="1"/>
                <c:pt idx="0">
                  <c:v>Clear Breezy 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'EV-recourse'!$B$2:$B$25</c:f>
              <c:numCache>
                <c:formatCode>General</c:formatCode>
                <c:ptCount val="24"/>
                <c:pt idx="0">
                  <c:v>0.71199999999999997</c:v>
                </c:pt>
                <c:pt idx="1">
                  <c:v>8.5999999999999993E-2</c:v>
                </c:pt>
                <c:pt idx="2">
                  <c:v>0</c:v>
                </c:pt>
                <c:pt idx="3">
                  <c:v>0</c:v>
                </c:pt>
                <c:pt idx="4">
                  <c:v>0.33400000000000002</c:v>
                </c:pt>
                <c:pt idx="5">
                  <c:v>1.65</c:v>
                </c:pt>
                <c:pt idx="6">
                  <c:v>3.6120000000000001</c:v>
                </c:pt>
                <c:pt idx="7">
                  <c:v>5.7359999999999998</c:v>
                </c:pt>
                <c:pt idx="8">
                  <c:v>2.5619999999999998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0.68799999999999994</c:v>
                </c:pt>
                <c:pt idx="17">
                  <c:v>4.992</c:v>
                </c:pt>
                <c:pt idx="18">
                  <c:v>7.9480000000000004</c:v>
                </c:pt>
                <c:pt idx="19">
                  <c:v>9.0839999999999996</c:v>
                </c:pt>
                <c:pt idx="20">
                  <c:v>7.298</c:v>
                </c:pt>
                <c:pt idx="21">
                  <c:v>5.2960000000000003</c:v>
                </c:pt>
                <c:pt idx="22">
                  <c:v>3.5139999999999998</c:v>
                </c:pt>
                <c:pt idx="23">
                  <c:v>1.9139999999999999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0-4C94-990F-BA9259570970}"/>
            </c:ext>
          </c:extLst>
        </c:ser>
        <c:ser>
          <c:idx val="1"/>
          <c:order val="1"/>
          <c:tx>
            <c:strRef>
              <c:f>'EV-recourse'!$D$1</c:f>
              <c:strCache>
                <c:ptCount val="1"/>
                <c:pt idx="0">
                  <c:v>Cloudy Calm G</c:v>
                </c:pt>
              </c:strCache>
            </c:strRef>
          </c:tx>
          <c:spPr>
            <a:ln w="19050" cap="rnd">
              <a:solidFill>
                <a:schemeClr val="accent3">
                  <a:alpha val="9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'EV-recourse'!$A$2:$A$25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'EV-recourse'!$D$2:$D$25</c:f>
              <c:numCache>
                <c:formatCode>General</c:formatCode>
                <c:ptCount val="24"/>
                <c:pt idx="0">
                  <c:v>4.7039999999999997</c:v>
                </c:pt>
                <c:pt idx="1">
                  <c:v>4.2359999999999998</c:v>
                </c:pt>
                <c:pt idx="2">
                  <c:v>4.03</c:v>
                </c:pt>
                <c:pt idx="3">
                  <c:v>3.9125100000000002</c:v>
                </c:pt>
                <c:pt idx="4">
                  <c:v>3.91</c:v>
                </c:pt>
                <c:pt idx="5">
                  <c:v>4.6340000000000003</c:v>
                </c:pt>
                <c:pt idx="6">
                  <c:v>6.0839999999999996</c:v>
                </c:pt>
                <c:pt idx="7">
                  <c:v>7.7480000000000002</c:v>
                </c:pt>
                <c:pt idx="8">
                  <c:v>6.6159999999999997</c:v>
                </c:pt>
                <c:pt idx="9">
                  <c:v>5.5040800000000001</c:v>
                </c:pt>
                <c:pt idx="10">
                  <c:v>5.94</c:v>
                </c:pt>
                <c:pt idx="11">
                  <c:v>4.46</c:v>
                </c:pt>
                <c:pt idx="12">
                  <c:v>4.0999999999999996</c:v>
                </c:pt>
                <c:pt idx="13">
                  <c:v>4.6399999999999997</c:v>
                </c:pt>
                <c:pt idx="14">
                  <c:v>5.5259999999999998</c:v>
                </c:pt>
                <c:pt idx="15">
                  <c:v>5.8239999999999998</c:v>
                </c:pt>
                <c:pt idx="16">
                  <c:v>8.26</c:v>
                </c:pt>
                <c:pt idx="17">
                  <c:v>10.885999999999999</c:v>
                </c:pt>
                <c:pt idx="18">
                  <c:v>12.348000000000001</c:v>
                </c:pt>
                <c:pt idx="19">
                  <c:v>12.596</c:v>
                </c:pt>
                <c:pt idx="20">
                  <c:v>11.256</c:v>
                </c:pt>
                <c:pt idx="21">
                  <c:v>9.5039999999999996</c:v>
                </c:pt>
                <c:pt idx="22">
                  <c:v>7.72</c:v>
                </c:pt>
                <c:pt idx="23">
                  <c:v>6.02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A0-4C94-990F-BA9259570970}"/>
            </c:ext>
          </c:extLst>
        </c:ser>
        <c:ser>
          <c:idx val="2"/>
          <c:order val="2"/>
          <c:tx>
            <c:strRef>
              <c:f>'EV-recourse'!$F$1</c:f>
              <c:strCache>
                <c:ptCount val="1"/>
                <c:pt idx="0">
                  <c:v>Hot Clear 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'EV-recourse'!$A$2:$A$25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'EV-recourse'!$F$2:$F$25</c:f>
              <c:numCache>
                <c:formatCode>General</c:formatCode>
                <c:ptCount val="24"/>
                <c:pt idx="0">
                  <c:v>2.74</c:v>
                </c:pt>
                <c:pt idx="1">
                  <c:v>2.15</c:v>
                </c:pt>
                <c:pt idx="2">
                  <c:v>1.92</c:v>
                </c:pt>
                <c:pt idx="3">
                  <c:v>1.7908500000000001</c:v>
                </c:pt>
                <c:pt idx="4">
                  <c:v>1.93</c:v>
                </c:pt>
                <c:pt idx="5">
                  <c:v>3.02</c:v>
                </c:pt>
                <c:pt idx="6">
                  <c:v>4.8899999999999997</c:v>
                </c:pt>
                <c:pt idx="7">
                  <c:v>7.08</c:v>
                </c:pt>
                <c:pt idx="8">
                  <c:v>4.0199999999999996</c:v>
                </c:pt>
                <c:pt idx="9">
                  <c:v>1.7103999999999999</c:v>
                </c:pt>
                <c:pt idx="10">
                  <c:v>1.5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0.43</c:v>
                </c:pt>
                <c:pt idx="16">
                  <c:v>4.25</c:v>
                </c:pt>
                <c:pt idx="17">
                  <c:v>8.6300000000000008</c:v>
                </c:pt>
                <c:pt idx="18">
                  <c:v>11.49</c:v>
                </c:pt>
                <c:pt idx="19">
                  <c:v>12.38</c:v>
                </c:pt>
                <c:pt idx="20">
                  <c:v>10.31</c:v>
                </c:pt>
                <c:pt idx="21">
                  <c:v>8.11</c:v>
                </c:pt>
                <c:pt idx="22">
                  <c:v>6.01</c:v>
                </c:pt>
                <c:pt idx="23">
                  <c:v>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A0-4C94-990F-BA9259570970}"/>
            </c:ext>
          </c:extLst>
        </c:ser>
        <c:ser>
          <c:idx val="3"/>
          <c:order val="3"/>
          <c:tx>
            <c:strRef>
              <c:f>'EV-recourse'!$H$1</c:f>
              <c:strCache>
                <c:ptCount val="1"/>
                <c:pt idx="0">
                  <c:v>Hot Cloudy G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yVal>
            <c:numRef>
              <c:f>'EV-recourse'!$H$2:$H$25</c:f>
              <c:numCache>
                <c:formatCode>General</c:formatCode>
                <c:ptCount val="24"/>
                <c:pt idx="0">
                  <c:v>2.5219999999999998</c:v>
                </c:pt>
                <c:pt idx="1">
                  <c:v>1.9079999999999999</c:v>
                </c:pt>
                <c:pt idx="2">
                  <c:v>1.6706399999999999</c:v>
                </c:pt>
                <c:pt idx="3">
                  <c:v>1.5468900000000001</c:v>
                </c:pt>
                <c:pt idx="4">
                  <c:v>1.758</c:v>
                </c:pt>
                <c:pt idx="5">
                  <c:v>2.9279999999999999</c:v>
                </c:pt>
                <c:pt idx="6">
                  <c:v>4.8920000000000003</c:v>
                </c:pt>
                <c:pt idx="7">
                  <c:v>7.1479999999999997</c:v>
                </c:pt>
                <c:pt idx="8">
                  <c:v>6.06</c:v>
                </c:pt>
                <c:pt idx="9">
                  <c:v>5.2603999999999997</c:v>
                </c:pt>
                <c:pt idx="10">
                  <c:v>6.4</c:v>
                </c:pt>
                <c:pt idx="11">
                  <c:v>4.9400000000000004</c:v>
                </c:pt>
                <c:pt idx="12">
                  <c:v>4.34</c:v>
                </c:pt>
                <c:pt idx="13">
                  <c:v>4.8899999999999997</c:v>
                </c:pt>
                <c:pt idx="14">
                  <c:v>6.1340000000000003</c:v>
                </c:pt>
                <c:pt idx="15">
                  <c:v>5.9080000000000004</c:v>
                </c:pt>
                <c:pt idx="16">
                  <c:v>8.5500000000000007</c:v>
                </c:pt>
                <c:pt idx="17">
                  <c:v>11.214</c:v>
                </c:pt>
                <c:pt idx="18">
                  <c:v>12.374000000000001</c:v>
                </c:pt>
                <c:pt idx="19">
                  <c:v>12.007999999999999</c:v>
                </c:pt>
                <c:pt idx="20">
                  <c:v>9.9979999999999993</c:v>
                </c:pt>
                <c:pt idx="21">
                  <c:v>7.8860000000000001</c:v>
                </c:pt>
                <c:pt idx="22">
                  <c:v>5.8079999999999998</c:v>
                </c:pt>
                <c:pt idx="23">
                  <c:v>3.8679999999999999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A0-4C94-990F-BA9259570970}"/>
            </c:ext>
          </c:extLst>
        </c:ser>
        <c:ser>
          <c:idx val="4"/>
          <c:order val="4"/>
          <c:tx>
            <c:strRef>
              <c:f>'EV-recourse'!$J$1</c:f>
              <c:strCache>
                <c:ptCount val="1"/>
                <c:pt idx="0">
                  <c:v>Hot Hazy 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'EV-recourse'!$J$2:$J$25</c:f>
              <c:numCache>
                <c:formatCode>General</c:formatCode>
                <c:ptCount val="24"/>
                <c:pt idx="0">
                  <c:v>4.6319999999999997</c:v>
                </c:pt>
                <c:pt idx="1">
                  <c:v>4.1159999999999997</c:v>
                </c:pt>
                <c:pt idx="2">
                  <c:v>3.82287</c:v>
                </c:pt>
                <c:pt idx="3">
                  <c:v>3.6281300000000001</c:v>
                </c:pt>
                <c:pt idx="4">
                  <c:v>3.77</c:v>
                </c:pt>
                <c:pt idx="5">
                  <c:v>4.7160000000000002</c:v>
                </c:pt>
                <c:pt idx="6">
                  <c:v>6.3819999999999997</c:v>
                </c:pt>
                <c:pt idx="7">
                  <c:v>8.3780000000000001</c:v>
                </c:pt>
                <c:pt idx="8">
                  <c:v>5.6779999999999999</c:v>
                </c:pt>
                <c:pt idx="9">
                  <c:v>3.3815200000000001</c:v>
                </c:pt>
                <c:pt idx="10">
                  <c:v>2.58</c:v>
                </c:pt>
                <c:pt idx="11">
                  <c:v>0.49</c:v>
                </c:pt>
                <c:pt idx="12">
                  <c:v>0</c:v>
                </c:pt>
                <c:pt idx="13">
                  <c:v>0.66</c:v>
                </c:pt>
                <c:pt idx="14">
                  <c:v>2.1760000000000002</c:v>
                </c:pt>
                <c:pt idx="15">
                  <c:v>3.226</c:v>
                </c:pt>
                <c:pt idx="16">
                  <c:v>7</c:v>
                </c:pt>
                <c:pt idx="17">
                  <c:v>11.1</c:v>
                </c:pt>
                <c:pt idx="18">
                  <c:v>13.582000000000001</c:v>
                </c:pt>
                <c:pt idx="19">
                  <c:v>14.096</c:v>
                </c:pt>
                <c:pt idx="20">
                  <c:v>12.108000000000001</c:v>
                </c:pt>
                <c:pt idx="21">
                  <c:v>10.102</c:v>
                </c:pt>
                <c:pt idx="22">
                  <c:v>8.0039999999999996</c:v>
                </c:pt>
                <c:pt idx="23">
                  <c:v>6.0439999999999996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A0-4C94-990F-BA9259570970}"/>
            </c:ext>
          </c:extLst>
        </c:ser>
        <c:ser>
          <c:idx val="5"/>
          <c:order val="5"/>
          <c:tx>
            <c:strRef>
              <c:f>'EV-recourse'!$L$1</c:f>
              <c:strCache>
                <c:ptCount val="1"/>
                <c:pt idx="0">
                  <c:v>Mild Balanced G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yVal>
            <c:numRef>
              <c:f>'EV-recourse'!$L$2:$L$25</c:f>
              <c:numCache>
                <c:formatCode>General</c:formatCode>
                <c:ptCount val="24"/>
                <c:pt idx="0">
                  <c:v>1.74</c:v>
                </c:pt>
                <c:pt idx="1">
                  <c:v>1.18</c:v>
                </c:pt>
                <c:pt idx="2">
                  <c:v>0.98</c:v>
                </c:pt>
                <c:pt idx="3">
                  <c:v>0.86084799999999995</c:v>
                </c:pt>
                <c:pt idx="4">
                  <c:v>0.99</c:v>
                </c:pt>
                <c:pt idx="5">
                  <c:v>2.1</c:v>
                </c:pt>
                <c:pt idx="6">
                  <c:v>3.9380000000000002</c:v>
                </c:pt>
                <c:pt idx="7">
                  <c:v>5.8639999999999999</c:v>
                </c:pt>
                <c:pt idx="8">
                  <c:v>2.944</c:v>
                </c:pt>
                <c:pt idx="9">
                  <c:v>0.49647999999999998</c:v>
                </c:pt>
                <c:pt idx="10">
                  <c:v>0.24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0.83</c:v>
                </c:pt>
                <c:pt idx="17">
                  <c:v>4.8520000000000003</c:v>
                </c:pt>
                <c:pt idx="18">
                  <c:v>7.8440000000000003</c:v>
                </c:pt>
                <c:pt idx="19">
                  <c:v>9.1760000000000002</c:v>
                </c:pt>
                <c:pt idx="20">
                  <c:v>7.8380000000000001</c:v>
                </c:pt>
                <c:pt idx="21">
                  <c:v>6.194</c:v>
                </c:pt>
                <c:pt idx="22">
                  <c:v>4.5199999999999996</c:v>
                </c:pt>
                <c:pt idx="23">
                  <c:v>2.92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A0-4C94-990F-BA9259570970}"/>
            </c:ext>
          </c:extLst>
        </c:ser>
        <c:ser>
          <c:idx val="6"/>
          <c:order val="6"/>
          <c:tx>
            <c:strRef>
              <c:f>'EV-recourse'!$N$1</c:f>
              <c:strCache>
                <c:ptCount val="1"/>
                <c:pt idx="0">
                  <c:v>Overcast Windy 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'EV-recourse'!$N$2:$N$25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0.14399999999999999</c:v>
                </c:pt>
                <c:pt idx="6">
                  <c:v>2.1960000000000002</c:v>
                </c:pt>
                <c:pt idx="7">
                  <c:v>4.41</c:v>
                </c:pt>
                <c:pt idx="8">
                  <c:v>4.47</c:v>
                </c:pt>
                <c:pt idx="9">
                  <c:v>4.60928</c:v>
                </c:pt>
                <c:pt idx="10">
                  <c:v>7.24</c:v>
                </c:pt>
                <c:pt idx="11">
                  <c:v>6.38</c:v>
                </c:pt>
                <c:pt idx="12">
                  <c:v>5.95</c:v>
                </c:pt>
                <c:pt idx="13">
                  <c:v>6.18</c:v>
                </c:pt>
                <c:pt idx="14">
                  <c:v>6.5579999999999998</c:v>
                </c:pt>
                <c:pt idx="15">
                  <c:v>4.5620000000000003</c:v>
                </c:pt>
                <c:pt idx="16">
                  <c:v>5.83</c:v>
                </c:pt>
                <c:pt idx="17">
                  <c:v>7.1840000000000002</c:v>
                </c:pt>
                <c:pt idx="18">
                  <c:v>7.4960000000000004</c:v>
                </c:pt>
                <c:pt idx="19">
                  <c:v>6.94</c:v>
                </c:pt>
                <c:pt idx="20">
                  <c:v>5.28</c:v>
                </c:pt>
                <c:pt idx="21">
                  <c:v>3.3479999999999999</c:v>
                </c:pt>
                <c:pt idx="22">
                  <c:v>1.5720000000000001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A0-4C94-990F-BA9259570970}"/>
            </c:ext>
          </c:extLst>
        </c:ser>
        <c:ser>
          <c:idx val="7"/>
          <c:order val="7"/>
          <c:tx>
            <c:strRef>
              <c:f>'EV-recourse'!$P$1</c:f>
              <c:strCache>
                <c:ptCount val="1"/>
                <c:pt idx="0">
                  <c:v>Storm PM 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'EV-recourse'!$P$2:$P$25</c:f>
              <c:numCache>
                <c:formatCode>General</c:formatCode>
                <c:ptCount val="24"/>
                <c:pt idx="0">
                  <c:v>2.798</c:v>
                </c:pt>
                <c:pt idx="1">
                  <c:v>2.222</c:v>
                </c:pt>
                <c:pt idx="2">
                  <c:v>2.0193599999999998</c:v>
                </c:pt>
                <c:pt idx="3">
                  <c:v>1.8748100000000001</c:v>
                </c:pt>
                <c:pt idx="4">
                  <c:v>2.0219999999999998</c:v>
                </c:pt>
                <c:pt idx="5">
                  <c:v>3.0640000000000001</c:v>
                </c:pt>
                <c:pt idx="6">
                  <c:v>4.6980000000000004</c:v>
                </c:pt>
                <c:pt idx="7">
                  <c:v>6.64</c:v>
                </c:pt>
                <c:pt idx="8">
                  <c:v>3.528</c:v>
                </c:pt>
                <c:pt idx="9">
                  <c:v>1.40784</c:v>
                </c:pt>
                <c:pt idx="10">
                  <c:v>2.65</c:v>
                </c:pt>
                <c:pt idx="11">
                  <c:v>2.95</c:v>
                </c:pt>
                <c:pt idx="12">
                  <c:v>6.79</c:v>
                </c:pt>
                <c:pt idx="13">
                  <c:v>11.13</c:v>
                </c:pt>
                <c:pt idx="14">
                  <c:v>11.646000000000001</c:v>
                </c:pt>
                <c:pt idx="15">
                  <c:v>7.3739999999999997</c:v>
                </c:pt>
                <c:pt idx="16">
                  <c:v>6.77</c:v>
                </c:pt>
                <c:pt idx="17">
                  <c:v>6.89</c:v>
                </c:pt>
                <c:pt idx="18">
                  <c:v>7.718</c:v>
                </c:pt>
                <c:pt idx="19">
                  <c:v>8.9740000000000002</c:v>
                </c:pt>
                <c:pt idx="20">
                  <c:v>8.0640000000000001</c:v>
                </c:pt>
                <c:pt idx="21">
                  <c:v>6.81</c:v>
                </c:pt>
                <c:pt idx="22">
                  <c:v>5.54</c:v>
                </c:pt>
                <c:pt idx="23">
                  <c:v>3.9159999999999999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A0-4C94-990F-BA9259570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968240"/>
        <c:axId val="938970640"/>
      </c:scatterChart>
      <c:valAx>
        <c:axId val="938968240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8970640"/>
        <c:crosses val="autoZero"/>
        <c:crossBetween val="midCat"/>
        <c:majorUnit val="1"/>
      </c:valAx>
      <c:valAx>
        <c:axId val="9389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Purchased Energy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896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AMPL Expected Value Grid Export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'EV-recourse'!$C$1</c:f>
              <c:strCache>
                <c:ptCount val="1"/>
                <c:pt idx="0">
                  <c:v>Clear Breezy 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'EV-recourse'!$A$2:$A$25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'EV-recourse'!$C$2:$C$25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0.39</c:v>
                </c:pt>
                <c:pt idx="11">
                  <c:v>3.05</c:v>
                </c:pt>
                <c:pt idx="12">
                  <c:v>4.12</c:v>
                </c:pt>
                <c:pt idx="13">
                  <c:v>3.77</c:v>
                </c:pt>
                <c:pt idx="14">
                  <c:v>2.84</c:v>
                </c:pt>
                <c:pt idx="15">
                  <c:v>2.718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9E-46C3-9DEA-3E40B01FA49F}"/>
            </c:ext>
          </c:extLst>
        </c:ser>
        <c:ser>
          <c:idx val="1"/>
          <c:order val="1"/>
          <c:tx>
            <c:strRef>
              <c:f>'EV-recourse'!$E$1</c:f>
              <c:strCache>
                <c:ptCount val="1"/>
                <c:pt idx="0">
                  <c:v>Cloudy Calm 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96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'EV-recourse'!$E$2:$E$25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9E-46C3-9DEA-3E40B01FA49F}"/>
            </c:ext>
          </c:extLst>
        </c:ser>
        <c:ser>
          <c:idx val="2"/>
          <c:order val="2"/>
          <c:tx>
            <c:strRef>
              <c:f>'EV-recourse'!$G$1</c:f>
              <c:strCache>
                <c:ptCount val="1"/>
                <c:pt idx="0">
                  <c:v>Hot Clear 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'EV-recourse'!$G$2:$G$25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0.79</c:v>
                </c:pt>
                <c:pt idx="12">
                  <c:v>1.57</c:v>
                </c:pt>
                <c:pt idx="13">
                  <c:v>1.1499999999999999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9E-46C3-9DEA-3E40B01FA49F}"/>
            </c:ext>
          </c:extLst>
        </c:ser>
        <c:ser>
          <c:idx val="3"/>
          <c:order val="3"/>
          <c:tx>
            <c:strRef>
              <c:f>'EV-recourse'!$I$1</c:f>
              <c:strCache>
                <c:ptCount val="1"/>
                <c:pt idx="0">
                  <c:v>Hot Cloudy E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alpha val="92000"/>
                </a:schemeClr>
              </a:solidFill>
              <a:ln w="9525">
                <a:solidFill>
                  <a:schemeClr val="tx2"/>
                </a:solidFill>
              </a:ln>
              <a:effectLst/>
            </c:spPr>
          </c:marker>
          <c:yVal>
            <c:numRef>
              <c:f>'EV-recourse'!$I$2:$I$25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9E-46C3-9DEA-3E40B01FA49F}"/>
            </c:ext>
          </c:extLst>
        </c:ser>
        <c:ser>
          <c:idx val="4"/>
          <c:order val="4"/>
          <c:tx>
            <c:strRef>
              <c:f>'EV-recourse'!$K$1</c:f>
              <c:strCache>
                <c:ptCount val="1"/>
                <c:pt idx="0">
                  <c:v>Hot Hazy 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97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'EV-recourse'!$K$2:$K$25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9E-46C3-9DEA-3E40B01FA49F}"/>
            </c:ext>
          </c:extLst>
        </c:ser>
        <c:ser>
          <c:idx val="5"/>
          <c:order val="5"/>
          <c:tx>
            <c:strRef>
              <c:f>'EV-recourse'!$M$1</c:f>
              <c:strCache>
                <c:ptCount val="1"/>
                <c:pt idx="0">
                  <c:v>Mild Balance E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yVal>
            <c:numRef>
              <c:f>'EV-recourse'!$M$2:$M$25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2.3199999999999998</c:v>
                </c:pt>
                <c:pt idx="12">
                  <c:v>3.45</c:v>
                </c:pt>
                <c:pt idx="13">
                  <c:v>3.23</c:v>
                </c:pt>
                <c:pt idx="14">
                  <c:v>2.3679999999999999</c:v>
                </c:pt>
                <c:pt idx="15">
                  <c:v>2.4079999999999999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9E-46C3-9DEA-3E40B01FA49F}"/>
            </c:ext>
          </c:extLst>
        </c:ser>
        <c:ser>
          <c:idx val="6"/>
          <c:order val="6"/>
          <c:tx>
            <c:strRef>
              <c:f>'EV-recourse'!$O$1</c:f>
              <c:strCache>
                <c:ptCount val="1"/>
                <c:pt idx="0">
                  <c:v>Overcast Windy 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'EV-recourse'!$O$2:$O$25</c:f>
              <c:numCache>
                <c:formatCode>General</c:formatCode>
                <c:ptCount val="24"/>
                <c:pt idx="0">
                  <c:v>1.1120000000000001</c:v>
                </c:pt>
                <c:pt idx="1">
                  <c:v>1.6020000000000001</c:v>
                </c:pt>
                <c:pt idx="2">
                  <c:v>1.68</c:v>
                </c:pt>
                <c:pt idx="3">
                  <c:v>1.6758299999999999</c:v>
                </c:pt>
                <c:pt idx="4">
                  <c:v>1.3440000000000001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9E-46C3-9DEA-3E40B01FA49F}"/>
            </c:ext>
          </c:extLst>
        </c:ser>
        <c:ser>
          <c:idx val="7"/>
          <c:order val="7"/>
          <c:tx>
            <c:strRef>
              <c:f>'EV-recourse'!$Q$1</c:f>
              <c:strCache>
                <c:ptCount val="1"/>
                <c:pt idx="0">
                  <c:v>Storm PM 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'EV-recourse'!$Q$2:$Q$25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9E-46C3-9DEA-3E40B01FA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163008"/>
        <c:axId val="942154368"/>
      </c:scatterChart>
      <c:valAx>
        <c:axId val="942163008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2154368"/>
        <c:crosses val="autoZero"/>
        <c:crossBetween val="midCat"/>
        <c:majorUnit val="1"/>
      </c:valAx>
      <c:valAx>
        <c:axId val="9421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Exported Energy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216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Commitment Schedule for Wait-and-See Clear Breezy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'WS-sched'!$C$4</c:f>
              <c:strCache>
                <c:ptCount val="1"/>
                <c:pt idx="0">
                  <c:v>xS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'WS-sched'!$B$5:$B$28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'WS-sched'!$C$5:$C$28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19.4315</c:v>
                </c:pt>
                <c:pt idx="11">
                  <c:v>16.424399999999999</c:v>
                </c:pt>
                <c:pt idx="12">
                  <c:v>15.5983</c:v>
                </c:pt>
                <c:pt idx="13">
                  <c:v>16.023199999999999</c:v>
                </c:pt>
                <c:pt idx="14">
                  <c:v>17.306799999999999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F-4A51-8308-6825B29A0377}"/>
            </c:ext>
          </c:extLst>
        </c:ser>
        <c:ser>
          <c:idx val="1"/>
          <c:order val="1"/>
          <c:tx>
            <c:strRef>
              <c:f>'WS-sched'!$D$4</c:f>
              <c:strCache>
                <c:ptCount val="1"/>
                <c:pt idx="0">
                  <c:v>xW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'WS-sched'!$B$5:$B$28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'WS-sched'!$D$5:$D$28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13.7234</c:v>
                </c:pt>
                <c:pt idx="3">
                  <c:v>13.498200000000001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13.04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2.7686000000000002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F-4A51-8308-6825B29A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587712"/>
        <c:axId val="1206586752"/>
      </c:lineChart>
      <c:catAx>
        <c:axId val="120658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6586752"/>
        <c:crosses val="autoZero"/>
        <c:auto val="1"/>
        <c:lblAlgn val="ctr"/>
        <c:lblOffset val="100"/>
        <c:noMultiLvlLbl val="0"/>
      </c:catAx>
      <c:valAx>
        <c:axId val="12065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Energy Committed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658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Commitment Schedule for Wait-and-See Cloudy Calm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'WS-sched'!$G$4</c:f>
              <c:strCache>
                <c:ptCount val="1"/>
                <c:pt idx="0">
                  <c:v>xS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'WS-sched'!$F$5:$F$28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'WS-sched'!$G$5:$G$28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0-49BC-876B-A0AC065EF121}"/>
            </c:ext>
          </c:extLst>
        </c:ser>
        <c:ser>
          <c:idx val="1"/>
          <c:order val="1"/>
          <c:tx>
            <c:strRef>
              <c:f>'WS-sched'!$H$4</c:f>
              <c:strCache>
                <c:ptCount val="1"/>
                <c:pt idx="0">
                  <c:v>xW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'WS-sched'!$F$5:$F$28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'WS-sched'!$H$5:$H$28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0-49BC-876B-A0AC065E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352384"/>
        <c:axId val="709351904"/>
      </c:lineChart>
      <c:catAx>
        <c:axId val="70935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9351904"/>
        <c:crosses val="autoZero"/>
        <c:auto val="1"/>
        <c:lblAlgn val="ctr"/>
        <c:lblOffset val="100"/>
        <c:noMultiLvlLbl val="0"/>
      </c:catAx>
      <c:valAx>
        <c:axId val="7093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Energy Committed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93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AMPL Wait-and-See Combined Solar Commitments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'WS-sched'!$R$4</c:f>
              <c:strCache>
                <c:ptCount val="1"/>
                <c:pt idx="0">
                  <c:v>Clear Breezy xS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'WS-sched'!$R$5:$R$28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19.4315</c:v>
                </c:pt>
                <c:pt idx="11">
                  <c:v>16.424399999999999</c:v>
                </c:pt>
                <c:pt idx="12">
                  <c:v>15.5983</c:v>
                </c:pt>
                <c:pt idx="13">
                  <c:v>16.023199999999999</c:v>
                </c:pt>
                <c:pt idx="14">
                  <c:v>17.306799999999999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9-4C04-BA75-0F9CD0A8EDB7}"/>
            </c:ext>
          </c:extLst>
        </c:ser>
        <c:ser>
          <c:idx val="1"/>
          <c:order val="1"/>
          <c:tx>
            <c:strRef>
              <c:f>'WS-sched'!$S$4</c:f>
              <c:strCache>
                <c:ptCount val="1"/>
                <c:pt idx="0">
                  <c:v>Cloudy Calm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'WS-sched'!$S$5:$S$28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9-4C04-BA75-0F9CD0A8EDB7}"/>
            </c:ext>
          </c:extLst>
        </c:ser>
        <c:ser>
          <c:idx val="2"/>
          <c:order val="2"/>
          <c:tx>
            <c:strRef>
              <c:f>'WS-sched'!$T$4</c:f>
              <c:strCache>
                <c:ptCount val="1"/>
                <c:pt idx="0">
                  <c:v>Hot Clear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'WS-sched'!$T$5:$T$28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19.0366</c:v>
                </c:pt>
                <c:pt idx="12">
                  <c:v>18.255600000000001</c:v>
                </c:pt>
                <c:pt idx="13">
                  <c:v>18.75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9-4C04-BA75-0F9CD0A8EDB7}"/>
            </c:ext>
          </c:extLst>
        </c:ser>
        <c:ser>
          <c:idx val="3"/>
          <c:order val="3"/>
          <c:tx>
            <c:strRef>
              <c:f>'WS-sched'!$U$4</c:f>
              <c:strCache>
                <c:ptCount val="1"/>
                <c:pt idx="0">
                  <c:v>Hot Cloudy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'WS-sched'!$U$5:$U$28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39-4C04-BA75-0F9CD0A8EDB7}"/>
            </c:ext>
          </c:extLst>
        </c:ser>
        <c:ser>
          <c:idx val="4"/>
          <c:order val="4"/>
          <c:tx>
            <c:strRef>
              <c:f>'WS-sched'!$V$4</c:f>
              <c:strCache>
                <c:ptCount val="1"/>
                <c:pt idx="0">
                  <c:v>Hot Hazy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'WS-sched'!$V$5:$V$28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39-4C04-BA75-0F9CD0A8EDB7}"/>
            </c:ext>
          </c:extLst>
        </c:ser>
        <c:ser>
          <c:idx val="5"/>
          <c:order val="5"/>
          <c:tx>
            <c:strRef>
              <c:f>'WS-sched'!$W$4</c:f>
              <c:strCache>
                <c:ptCount val="1"/>
                <c:pt idx="0">
                  <c:v>Mild Balanced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'WS-sched'!$W$5:$W$28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17.081800000000001</c:v>
                </c:pt>
                <c:pt idx="12">
                  <c:v>16.048100000000002</c:v>
                </c:pt>
                <c:pt idx="13">
                  <c:v>16.341999999999999</c:v>
                </c:pt>
                <c:pt idx="14">
                  <c:v>17.631599999999999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39-4C04-BA75-0F9CD0A8EDB7}"/>
            </c:ext>
          </c:extLst>
        </c:ser>
        <c:ser>
          <c:idx val="6"/>
          <c:order val="6"/>
          <c:tx>
            <c:strRef>
              <c:f>'WS-sched'!$X$4</c:f>
              <c:strCache>
                <c:ptCount val="1"/>
                <c:pt idx="0">
                  <c:v>Overcast Windy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'WS-sched'!$X$5:$X$28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39-4C04-BA75-0F9CD0A8EDB7}"/>
            </c:ext>
          </c:extLst>
        </c:ser>
        <c:ser>
          <c:idx val="7"/>
          <c:order val="7"/>
          <c:tx>
            <c:strRef>
              <c:f>'WS-sched'!$Y$4</c:f>
              <c:strCache>
                <c:ptCount val="1"/>
                <c:pt idx="0">
                  <c:v>Storm PM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'WS-sched'!$Q$5:$Q$28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'WS-sched'!$Y$5:$Y$28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39-4C04-BA75-0F9CD0A8E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437344"/>
        <c:axId val="1254437824"/>
      </c:lineChart>
      <c:catAx>
        <c:axId val="125443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4437824"/>
        <c:crosses val="autoZero"/>
        <c:auto val="1"/>
        <c:lblAlgn val="ctr"/>
        <c:lblOffset val="100"/>
        <c:noMultiLvlLbl val="0"/>
      </c:catAx>
      <c:valAx>
        <c:axId val="125443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Commitment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443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AMPL Wait-and-See Combined Wind Commitments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'WS-sched'!$R$32</c:f>
              <c:strCache>
                <c:ptCount val="1"/>
                <c:pt idx="0">
                  <c:v>Clear Breezy xS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'WS-sched'!$R$33:$R$56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13.7234</c:v>
                </c:pt>
                <c:pt idx="3">
                  <c:v>13.498200000000001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13.04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2.7686000000000002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3-4AD9-BBA0-59F121A54846}"/>
            </c:ext>
          </c:extLst>
        </c:ser>
        <c:ser>
          <c:idx val="1"/>
          <c:order val="1"/>
          <c:tx>
            <c:strRef>
              <c:f>'WS-sched'!$S$32</c:f>
              <c:strCache>
                <c:ptCount val="1"/>
                <c:pt idx="0">
                  <c:v>Cloudy Calm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'WS-sched'!$S$33:$S$56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3-4AD9-BBA0-59F121A54846}"/>
            </c:ext>
          </c:extLst>
        </c:ser>
        <c:ser>
          <c:idx val="2"/>
          <c:order val="2"/>
          <c:tx>
            <c:strRef>
              <c:f>'WS-sched'!$T$32</c:f>
              <c:strCache>
                <c:ptCount val="1"/>
                <c:pt idx="0">
                  <c:v>Hot Clear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'WS-sched'!$T$33:$T$56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7.1428599999999998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F3-4AD9-BBA0-59F121A54846}"/>
            </c:ext>
          </c:extLst>
        </c:ser>
        <c:ser>
          <c:idx val="3"/>
          <c:order val="3"/>
          <c:tx>
            <c:strRef>
              <c:f>'WS-sched'!$U$32</c:f>
              <c:strCache>
                <c:ptCount val="1"/>
                <c:pt idx="0">
                  <c:v>Hot Cloudy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'WS-sched'!$U$33:$U$56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F3-4AD9-BBA0-59F121A54846}"/>
            </c:ext>
          </c:extLst>
        </c:ser>
        <c:ser>
          <c:idx val="4"/>
          <c:order val="4"/>
          <c:tx>
            <c:strRef>
              <c:f>'WS-sched'!$V$32</c:f>
              <c:strCache>
                <c:ptCount val="1"/>
                <c:pt idx="0">
                  <c:v>Hot Hazy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'WS-sched'!$V$33:$V$56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4.45946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F3-4AD9-BBA0-59F121A54846}"/>
            </c:ext>
          </c:extLst>
        </c:ser>
        <c:ser>
          <c:idx val="5"/>
          <c:order val="5"/>
          <c:tx>
            <c:strRef>
              <c:f>'WS-sched'!$W$32</c:f>
              <c:strCache>
                <c:ptCount val="1"/>
                <c:pt idx="0">
                  <c:v>Mild Balanced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'WS-sched'!$W$33:$W$56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1.14286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3.3920699999999999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F3-4AD9-BBA0-59F121A54846}"/>
            </c:ext>
          </c:extLst>
        </c:ser>
        <c:ser>
          <c:idx val="6"/>
          <c:order val="6"/>
          <c:tx>
            <c:strRef>
              <c:f>'WS-sched'!$X$32</c:f>
              <c:strCache>
                <c:ptCount val="1"/>
                <c:pt idx="0">
                  <c:v>Overcast Windy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'WS-sched'!$X$33:$X$56</c:f>
              <c:numCache>
                <c:formatCode>General</c:formatCode>
                <c:ptCount val="24"/>
                <c:pt idx="0">
                  <c:v>12.257099999999999</c:v>
                </c:pt>
                <c:pt idx="1">
                  <c:v>11.5467</c:v>
                </c:pt>
                <c:pt idx="2">
                  <c:v>11.170199999999999</c:v>
                </c:pt>
                <c:pt idx="3">
                  <c:v>10.966799999999999</c:v>
                </c:pt>
                <c:pt idx="4">
                  <c:v>11.835699999999999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13.9877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F3-4AD9-BBA0-59F121A54846}"/>
            </c:ext>
          </c:extLst>
        </c:ser>
        <c:ser>
          <c:idx val="7"/>
          <c:order val="7"/>
          <c:tx>
            <c:strRef>
              <c:f>'WS-sched'!$Y$32</c:f>
              <c:strCache>
                <c:ptCount val="1"/>
                <c:pt idx="0">
                  <c:v>Storm PM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'WS-sched'!$Q$33:$Q$56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'WS-sched'!$Y$33:$Y$56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11.4719</c:v>
                </c:pt>
                <c:pt idx="11">
                  <c:v>13.5321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F3-4AD9-BBA0-59F121A54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431664"/>
        <c:axId val="1254420144"/>
      </c:lineChart>
      <c:catAx>
        <c:axId val="125443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4420144"/>
        <c:crosses val="autoZero"/>
        <c:auto val="1"/>
        <c:lblAlgn val="ctr"/>
        <c:lblOffset val="100"/>
        <c:noMultiLvlLbl val="0"/>
      </c:catAx>
      <c:valAx>
        <c:axId val="12544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Commitment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443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AMPL Wait-and-See Grid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'WS-recourse'!$B$5</c:f>
              <c:strCache>
                <c:ptCount val="1"/>
                <c:pt idx="0">
                  <c:v>Clear Breez 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'WS-recourse'!$B$6:$B$29</c:f>
              <c:numCache>
                <c:formatCode>General</c:formatCode>
                <c:ptCount val="24"/>
                <c:pt idx="0">
                  <c:v>0.71199999999999997</c:v>
                </c:pt>
                <c:pt idx="1">
                  <c:v>8.5999999999999993E-2</c:v>
                </c:pt>
                <c:pt idx="2">
                  <c:v>0</c:v>
                </c:pt>
                <c:pt idx="3">
                  <c:v>0</c:v>
                </c:pt>
                <c:pt idx="4">
                  <c:v>0.33400000000000002</c:v>
                </c:pt>
                <c:pt idx="5">
                  <c:v>1.65</c:v>
                </c:pt>
                <c:pt idx="6">
                  <c:v>3.6120000000000001</c:v>
                </c:pt>
                <c:pt idx="7">
                  <c:v>5.7359999999999998</c:v>
                </c:pt>
                <c:pt idx="8">
                  <c:v>2.5619999999999998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0.68799999999999994</c:v>
                </c:pt>
                <c:pt idx="17">
                  <c:v>4.992</c:v>
                </c:pt>
                <c:pt idx="18">
                  <c:v>7.9480000000000004</c:v>
                </c:pt>
                <c:pt idx="19">
                  <c:v>9.0839999999999996</c:v>
                </c:pt>
                <c:pt idx="20">
                  <c:v>7.298</c:v>
                </c:pt>
                <c:pt idx="21">
                  <c:v>5.2960000000000003</c:v>
                </c:pt>
                <c:pt idx="22">
                  <c:v>3.5139999999999998</c:v>
                </c:pt>
                <c:pt idx="23">
                  <c:v>1.9139999999999999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F6-461C-8687-F7FAD4B62154}"/>
            </c:ext>
          </c:extLst>
        </c:ser>
        <c:ser>
          <c:idx val="2"/>
          <c:order val="1"/>
          <c:tx>
            <c:strRef>
              <c:f>'WS-recourse'!$D$5</c:f>
              <c:strCache>
                <c:ptCount val="1"/>
                <c:pt idx="0">
                  <c:v>Cloudy Calm 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'WS-recourse'!$D$6:$D$29</c:f>
              <c:numCache>
                <c:formatCode>General</c:formatCode>
                <c:ptCount val="24"/>
                <c:pt idx="0">
                  <c:v>8.4</c:v>
                </c:pt>
                <c:pt idx="1">
                  <c:v>8.1</c:v>
                </c:pt>
                <c:pt idx="2">
                  <c:v>7.9</c:v>
                </c:pt>
                <c:pt idx="3">
                  <c:v>7.8</c:v>
                </c:pt>
                <c:pt idx="4">
                  <c:v>7.9</c:v>
                </c:pt>
                <c:pt idx="5">
                  <c:v>8.4</c:v>
                </c:pt>
                <c:pt idx="6">
                  <c:v>9.5</c:v>
                </c:pt>
                <c:pt idx="7">
                  <c:v>10.8</c:v>
                </c:pt>
                <c:pt idx="8">
                  <c:v>11.9</c:v>
                </c:pt>
                <c:pt idx="9">
                  <c:v>7.76</c:v>
                </c:pt>
                <c:pt idx="10">
                  <c:v>5.94</c:v>
                </c:pt>
                <c:pt idx="11">
                  <c:v>4.46</c:v>
                </c:pt>
                <c:pt idx="12">
                  <c:v>4.0999999999999996</c:v>
                </c:pt>
                <c:pt idx="13">
                  <c:v>2.778</c:v>
                </c:pt>
                <c:pt idx="14">
                  <c:v>3.8820000000000001</c:v>
                </c:pt>
                <c:pt idx="15">
                  <c:v>5.8239999999999998</c:v>
                </c:pt>
                <c:pt idx="16">
                  <c:v>8.26</c:v>
                </c:pt>
                <c:pt idx="17">
                  <c:v>10.885999999999999</c:v>
                </c:pt>
                <c:pt idx="18">
                  <c:v>13.747999999999999</c:v>
                </c:pt>
                <c:pt idx="19">
                  <c:v>12.596</c:v>
                </c:pt>
                <c:pt idx="20">
                  <c:v>11.256</c:v>
                </c:pt>
                <c:pt idx="21">
                  <c:v>9.5039999999999996</c:v>
                </c:pt>
                <c:pt idx="22">
                  <c:v>7.72</c:v>
                </c:pt>
                <c:pt idx="23">
                  <c:v>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F6-461C-8687-F7FAD4B62154}"/>
            </c:ext>
          </c:extLst>
        </c:ser>
        <c:ser>
          <c:idx val="4"/>
          <c:order val="2"/>
          <c:tx>
            <c:strRef>
              <c:f>'WS-recourse'!$F$5</c:f>
              <c:strCache>
                <c:ptCount val="1"/>
                <c:pt idx="0">
                  <c:v>Hot Clear 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'WS-recourse'!$F$6:$F$29</c:f>
              <c:numCache>
                <c:formatCode>General</c:formatCode>
                <c:ptCount val="24"/>
                <c:pt idx="0">
                  <c:v>2.74</c:v>
                </c:pt>
                <c:pt idx="1">
                  <c:v>2.15</c:v>
                </c:pt>
                <c:pt idx="2">
                  <c:v>1.79</c:v>
                </c:pt>
                <c:pt idx="3">
                  <c:v>1.55</c:v>
                </c:pt>
                <c:pt idx="4">
                  <c:v>1.93</c:v>
                </c:pt>
                <c:pt idx="5">
                  <c:v>3.02</c:v>
                </c:pt>
                <c:pt idx="6">
                  <c:v>4.8899999999999997</c:v>
                </c:pt>
                <c:pt idx="7">
                  <c:v>7.08</c:v>
                </c:pt>
                <c:pt idx="8">
                  <c:v>4.0199999999999996</c:v>
                </c:pt>
                <c:pt idx="9">
                  <c:v>1.48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0.43</c:v>
                </c:pt>
                <c:pt idx="16">
                  <c:v>4.25</c:v>
                </c:pt>
                <c:pt idx="17">
                  <c:v>8.6300000000000008</c:v>
                </c:pt>
                <c:pt idx="18">
                  <c:v>11.49</c:v>
                </c:pt>
                <c:pt idx="19">
                  <c:v>12.38</c:v>
                </c:pt>
                <c:pt idx="20">
                  <c:v>10.31</c:v>
                </c:pt>
                <c:pt idx="21">
                  <c:v>8.11</c:v>
                </c:pt>
                <c:pt idx="22">
                  <c:v>6.01</c:v>
                </c:pt>
                <c:pt idx="23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F6-461C-8687-F7FAD4B62154}"/>
            </c:ext>
          </c:extLst>
        </c:ser>
        <c:ser>
          <c:idx val="6"/>
          <c:order val="3"/>
          <c:tx>
            <c:strRef>
              <c:f>'WS-recourse'!$H$5</c:f>
              <c:strCache>
                <c:ptCount val="1"/>
                <c:pt idx="0">
                  <c:v>Hot Cloudy 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'WS-recourse'!$H$6:$H$29</c:f>
              <c:numCache>
                <c:formatCode>General</c:formatCode>
                <c:ptCount val="24"/>
                <c:pt idx="0">
                  <c:v>2.5219999999999998</c:v>
                </c:pt>
                <c:pt idx="1">
                  <c:v>1.9079999999999999</c:v>
                </c:pt>
                <c:pt idx="2">
                  <c:v>1.534</c:v>
                </c:pt>
                <c:pt idx="3">
                  <c:v>1.294</c:v>
                </c:pt>
                <c:pt idx="4">
                  <c:v>1.758</c:v>
                </c:pt>
                <c:pt idx="5">
                  <c:v>2.9279999999999999</c:v>
                </c:pt>
                <c:pt idx="6">
                  <c:v>4.8920000000000003</c:v>
                </c:pt>
                <c:pt idx="7">
                  <c:v>7.1479999999999997</c:v>
                </c:pt>
                <c:pt idx="8">
                  <c:v>8.94</c:v>
                </c:pt>
                <c:pt idx="9">
                  <c:v>5.03</c:v>
                </c:pt>
                <c:pt idx="10">
                  <c:v>3.46</c:v>
                </c:pt>
                <c:pt idx="11">
                  <c:v>2.2799999999999998</c:v>
                </c:pt>
                <c:pt idx="12">
                  <c:v>1.792</c:v>
                </c:pt>
                <c:pt idx="13">
                  <c:v>2.3140000000000001</c:v>
                </c:pt>
                <c:pt idx="14">
                  <c:v>3.758</c:v>
                </c:pt>
                <c:pt idx="15">
                  <c:v>5.9080000000000004</c:v>
                </c:pt>
                <c:pt idx="16">
                  <c:v>8.5500000000000007</c:v>
                </c:pt>
                <c:pt idx="17">
                  <c:v>11.214</c:v>
                </c:pt>
                <c:pt idx="18">
                  <c:v>12.374000000000001</c:v>
                </c:pt>
                <c:pt idx="19">
                  <c:v>12.007999999999999</c:v>
                </c:pt>
                <c:pt idx="20">
                  <c:v>9.9979999999999993</c:v>
                </c:pt>
                <c:pt idx="21">
                  <c:v>7.8860000000000001</c:v>
                </c:pt>
                <c:pt idx="22">
                  <c:v>5.8079999999999998</c:v>
                </c:pt>
                <c:pt idx="23">
                  <c:v>3.8679999999999999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F6-461C-8687-F7FAD4B62154}"/>
            </c:ext>
          </c:extLst>
        </c:ser>
        <c:ser>
          <c:idx val="8"/>
          <c:order val="4"/>
          <c:tx>
            <c:strRef>
              <c:f>'WS-recourse'!$J$5</c:f>
              <c:strCache>
                <c:ptCount val="1"/>
                <c:pt idx="0">
                  <c:v>Hot Hazy 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'WS-recourse'!$J$6:$J$29</c:f>
              <c:numCache>
                <c:formatCode>General</c:formatCode>
                <c:ptCount val="24"/>
                <c:pt idx="0">
                  <c:v>9.07</c:v>
                </c:pt>
                <c:pt idx="1">
                  <c:v>8.75</c:v>
                </c:pt>
                <c:pt idx="2">
                  <c:v>8.5299999999999994</c:v>
                </c:pt>
                <c:pt idx="3">
                  <c:v>8.42</c:v>
                </c:pt>
                <c:pt idx="4">
                  <c:v>8.5299999999999994</c:v>
                </c:pt>
                <c:pt idx="5">
                  <c:v>9.07</c:v>
                </c:pt>
                <c:pt idx="6">
                  <c:v>10.26</c:v>
                </c:pt>
                <c:pt idx="7">
                  <c:v>11.78</c:v>
                </c:pt>
                <c:pt idx="8">
                  <c:v>8.66</c:v>
                </c:pt>
                <c:pt idx="9">
                  <c:v>5.82</c:v>
                </c:pt>
                <c:pt idx="10">
                  <c:v>2.58</c:v>
                </c:pt>
                <c:pt idx="11">
                  <c:v>0.49</c:v>
                </c:pt>
                <c:pt idx="12">
                  <c:v>0</c:v>
                </c:pt>
                <c:pt idx="13">
                  <c:v>0</c:v>
                </c:pt>
                <c:pt idx="14">
                  <c:v>0.35199999999999998</c:v>
                </c:pt>
                <c:pt idx="15">
                  <c:v>3.226</c:v>
                </c:pt>
                <c:pt idx="16">
                  <c:v>7</c:v>
                </c:pt>
                <c:pt idx="17">
                  <c:v>11.1</c:v>
                </c:pt>
                <c:pt idx="18">
                  <c:v>13.582000000000001</c:v>
                </c:pt>
                <c:pt idx="19">
                  <c:v>14.096</c:v>
                </c:pt>
                <c:pt idx="20">
                  <c:v>12.108000000000001</c:v>
                </c:pt>
                <c:pt idx="21">
                  <c:v>10.102</c:v>
                </c:pt>
                <c:pt idx="22">
                  <c:v>8.0039999999999996</c:v>
                </c:pt>
                <c:pt idx="23">
                  <c:v>6.0439999999999996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F6-461C-8687-F7FAD4B62154}"/>
            </c:ext>
          </c:extLst>
        </c:ser>
        <c:ser>
          <c:idx val="10"/>
          <c:order val="5"/>
          <c:tx>
            <c:strRef>
              <c:f>'WS-recourse'!$L$5</c:f>
              <c:strCache>
                <c:ptCount val="1"/>
                <c:pt idx="0">
                  <c:v>Mild Balanced 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'WS-recourse'!$L$6:$L$29</c:f>
              <c:numCache>
                <c:formatCode>General</c:formatCode>
                <c:ptCount val="24"/>
                <c:pt idx="0">
                  <c:v>1.74</c:v>
                </c:pt>
                <c:pt idx="1">
                  <c:v>1.18</c:v>
                </c:pt>
                <c:pt idx="2">
                  <c:v>0.85</c:v>
                </c:pt>
                <c:pt idx="3">
                  <c:v>0.62</c:v>
                </c:pt>
                <c:pt idx="4">
                  <c:v>0.99</c:v>
                </c:pt>
                <c:pt idx="5">
                  <c:v>2.1</c:v>
                </c:pt>
                <c:pt idx="6">
                  <c:v>3.9380000000000002</c:v>
                </c:pt>
                <c:pt idx="7">
                  <c:v>5.8639999999999999</c:v>
                </c:pt>
                <c:pt idx="8">
                  <c:v>2.944</c:v>
                </c:pt>
                <c:pt idx="9">
                  <c:v>0.26800000000000002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0.83</c:v>
                </c:pt>
                <c:pt idx="17">
                  <c:v>4.8520000000000003</c:v>
                </c:pt>
                <c:pt idx="18">
                  <c:v>7.8440000000000003</c:v>
                </c:pt>
                <c:pt idx="19">
                  <c:v>9.1760000000000002</c:v>
                </c:pt>
                <c:pt idx="20">
                  <c:v>7.8380000000000001</c:v>
                </c:pt>
                <c:pt idx="21">
                  <c:v>6.194</c:v>
                </c:pt>
                <c:pt idx="22">
                  <c:v>4.5199999999999996</c:v>
                </c:pt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F6-461C-8687-F7FAD4B62154}"/>
            </c:ext>
          </c:extLst>
        </c:ser>
        <c:ser>
          <c:idx val="12"/>
          <c:order val="6"/>
          <c:tx>
            <c:strRef>
              <c:f>'WS-recourse'!$N$5</c:f>
              <c:strCache>
                <c:ptCount val="1"/>
                <c:pt idx="0">
                  <c:v>Overcast Windy 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'WS-recourse'!$N$6:$N$29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0.14399999999999999</c:v>
                </c:pt>
                <c:pt idx="6">
                  <c:v>2.1960000000000002</c:v>
                </c:pt>
                <c:pt idx="7">
                  <c:v>4.41</c:v>
                </c:pt>
                <c:pt idx="8">
                  <c:v>6.29</c:v>
                </c:pt>
                <c:pt idx="9">
                  <c:v>4.3280000000000003</c:v>
                </c:pt>
                <c:pt idx="10">
                  <c:v>3.7120000000000002</c:v>
                </c:pt>
                <c:pt idx="11">
                  <c:v>3.2440000000000002</c:v>
                </c:pt>
                <c:pt idx="12">
                  <c:v>2.9820000000000002</c:v>
                </c:pt>
                <c:pt idx="13">
                  <c:v>3.1560000000000001</c:v>
                </c:pt>
                <c:pt idx="14">
                  <c:v>3.726</c:v>
                </c:pt>
                <c:pt idx="15">
                  <c:v>4.5620000000000003</c:v>
                </c:pt>
                <c:pt idx="16">
                  <c:v>5.83</c:v>
                </c:pt>
                <c:pt idx="17">
                  <c:v>7.1840000000000002</c:v>
                </c:pt>
                <c:pt idx="18">
                  <c:v>8.4960000000000004</c:v>
                </c:pt>
                <c:pt idx="19">
                  <c:v>6.94</c:v>
                </c:pt>
                <c:pt idx="20">
                  <c:v>5.28</c:v>
                </c:pt>
                <c:pt idx="21">
                  <c:v>3.3479999999999999</c:v>
                </c:pt>
                <c:pt idx="22">
                  <c:v>1.5720000000000001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F6-461C-8687-F7FAD4B62154}"/>
            </c:ext>
          </c:extLst>
        </c:ser>
        <c:ser>
          <c:idx val="14"/>
          <c:order val="7"/>
          <c:tx>
            <c:strRef>
              <c:f>'WS-recourse'!$P$5</c:f>
              <c:strCache>
                <c:ptCount val="1"/>
                <c:pt idx="0">
                  <c:v>Storm PM 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'WS-recourse'!$A$6:$A$29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'WS-recourse'!$P$6:$P$29</c:f>
              <c:numCache>
                <c:formatCode>General</c:formatCode>
                <c:ptCount val="24"/>
                <c:pt idx="0">
                  <c:v>2.798</c:v>
                </c:pt>
                <c:pt idx="1">
                  <c:v>2.222</c:v>
                </c:pt>
                <c:pt idx="2">
                  <c:v>1.8959999999999999</c:v>
                </c:pt>
                <c:pt idx="3">
                  <c:v>1.6459999999999999</c:v>
                </c:pt>
                <c:pt idx="4">
                  <c:v>2.0219999999999998</c:v>
                </c:pt>
                <c:pt idx="5">
                  <c:v>3.0640000000000001</c:v>
                </c:pt>
                <c:pt idx="6">
                  <c:v>4.6980000000000004</c:v>
                </c:pt>
                <c:pt idx="7">
                  <c:v>6.64</c:v>
                </c:pt>
                <c:pt idx="8">
                  <c:v>3.528</c:v>
                </c:pt>
                <c:pt idx="9">
                  <c:v>1.1639999999999999</c:v>
                </c:pt>
                <c:pt idx="10">
                  <c:v>0</c:v>
                </c:pt>
                <c:pt idx="11">
                  <c:v>0</c:v>
                </c:pt>
                <c:pt idx="12">
                  <c:v>3.71</c:v>
                </c:pt>
                <c:pt idx="13">
                  <c:v>7.8540000000000001</c:v>
                </c:pt>
                <c:pt idx="14">
                  <c:v>8.5020000000000007</c:v>
                </c:pt>
                <c:pt idx="15">
                  <c:v>7.3739999999999997</c:v>
                </c:pt>
                <c:pt idx="16">
                  <c:v>6.77</c:v>
                </c:pt>
                <c:pt idx="17">
                  <c:v>6.89</c:v>
                </c:pt>
                <c:pt idx="18">
                  <c:v>7.718</c:v>
                </c:pt>
                <c:pt idx="19">
                  <c:v>8.9740000000000002</c:v>
                </c:pt>
                <c:pt idx="20">
                  <c:v>8.0640000000000001</c:v>
                </c:pt>
                <c:pt idx="21">
                  <c:v>6.81</c:v>
                </c:pt>
                <c:pt idx="22">
                  <c:v>5.54</c:v>
                </c:pt>
                <c:pt idx="23">
                  <c:v>3.9159999999999999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F6-461C-8687-F7FAD4B62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152208"/>
        <c:axId val="1012150768"/>
      </c:lineChart>
      <c:catAx>
        <c:axId val="101215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2150768"/>
        <c:crosses val="autoZero"/>
        <c:auto val="1"/>
        <c:lblAlgn val="ctr"/>
        <c:lblOffset val="100"/>
        <c:noMultiLvlLbl val="0"/>
      </c:catAx>
      <c:valAx>
        <c:axId val="10121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Energy Purchased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215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612509</xdr:colOff>
      <xdr:row>4</xdr:row>
      <xdr:rowOff>64291</xdr:rowOff>
    </xdr:from>
    <xdr:to>
      <xdr:col>12</xdr:col>
      <xdr:colOff>587375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48058-9C46-BDE6-DC0A-45BD87A14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71703</xdr:colOff>
      <xdr:row>29</xdr:row>
      <xdr:rowOff>47625</xdr:rowOff>
    </xdr:from>
    <xdr:to>
      <xdr:col>7</xdr:col>
      <xdr:colOff>633944</xdr:colOff>
      <xdr:row>41</xdr:row>
      <xdr:rowOff>21166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2CC410-83FB-0E67-C435-07023F6F5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432065</xdr:colOff>
      <xdr:row>29</xdr:row>
      <xdr:rowOff>58208</xdr:rowOff>
    </xdr:from>
    <xdr:to>
      <xdr:col>13</xdr:col>
      <xdr:colOff>381001</xdr:colOff>
      <xdr:row>41</xdr:row>
      <xdr:rowOff>58207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B20BA3-D554-CE8C-C442-12B2FDBCA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321468</xdr:colOff>
      <xdr:row>0</xdr:row>
      <xdr:rowOff>190499</xdr:rowOff>
    </xdr:from>
    <xdr:to>
      <xdr:col>25</xdr:col>
      <xdr:colOff>359568</xdr:colOff>
      <xdr:row>14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832C6-041D-D1F1-C818-529AD319E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360866</xdr:colOff>
      <xdr:row>16</xdr:row>
      <xdr:rowOff>58016</xdr:rowOff>
    </xdr:from>
    <xdr:to>
      <xdr:col>25</xdr:col>
      <xdr:colOff>398966</xdr:colOff>
      <xdr:row>31</xdr:row>
      <xdr:rowOff>86591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705CDA-B7F6-6D6B-9ECC-0F2C095FA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273841</xdr:colOff>
      <xdr:row>2</xdr:row>
      <xdr:rowOff>114299</xdr:rowOff>
    </xdr:from>
    <xdr:to>
      <xdr:col>11</xdr:col>
      <xdr:colOff>300038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BCAAB4-A53C-6FEE-8AA3-C1F1102D1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209550</xdr:colOff>
      <xdr:row>0</xdr:row>
      <xdr:rowOff>366712</xdr:rowOff>
    </xdr:from>
    <xdr:to>
      <xdr:col>25</xdr:col>
      <xdr:colOff>214312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62617-9CB2-116C-6368-B064451FB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149488</xdr:colOff>
      <xdr:row>16</xdr:row>
      <xdr:rowOff>135996</xdr:rowOff>
    </xdr:from>
    <xdr:to>
      <xdr:col>25</xdr:col>
      <xdr:colOff>127000</xdr:colOff>
      <xdr:row>34</xdr:row>
      <xdr:rowOff>132292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77EB1-FC25-DD69-EBBD-4A89D1C2D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</xdr:colOff>
      <xdr:row>33</xdr:row>
      <xdr:rowOff>33339</xdr:rowOff>
    </xdr:from>
    <xdr:to>
      <xdr:col>8</xdr:col>
      <xdr:colOff>447675</xdr:colOff>
      <xdr:row>47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EC592-8A14-4ABD-C0AC-2259B148E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626267</xdr:colOff>
      <xdr:row>33</xdr:row>
      <xdr:rowOff>19050</xdr:rowOff>
    </xdr:from>
    <xdr:to>
      <xdr:col>15</xdr:col>
      <xdr:colOff>352425</xdr:colOff>
      <xdr:row>46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ABD20-E9F3-78B9-F10C-B951EBC3C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121444</xdr:colOff>
      <xdr:row>2</xdr:row>
      <xdr:rowOff>171450</xdr:rowOff>
    </xdr:from>
    <xdr:to>
      <xdr:col>32</xdr:col>
      <xdr:colOff>159544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BE30C-FE4C-222D-3947-CC1A942DD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450057</xdr:colOff>
      <xdr:row>30</xdr:row>
      <xdr:rowOff>109538</xdr:rowOff>
    </xdr:from>
    <xdr:to>
      <xdr:col>32</xdr:col>
      <xdr:colOff>488157</xdr:colOff>
      <xdr:row>45</xdr:row>
      <xdr:rowOff>138113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7A493C-090E-FF9D-AAA1-48DFE2580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545307</xdr:colOff>
      <xdr:row>1</xdr:row>
      <xdr:rowOff>90487</xdr:rowOff>
    </xdr:from>
    <xdr:to>
      <xdr:col>24</xdr:col>
      <xdr:colOff>583407</xdr:colOff>
      <xdr:row>16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196BE-E737-DC16-481D-1437AF2EC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9197-568B-47EF-881C-F2589E3BB941}">
  <dimension ref="A1:Y195"/>
  <sheetViews>
    <sheetView topLeftCell="A3" zoomScale="90" zoomScaleNormal="90" workbookViewId="0">
      <selection activeCell="O20" sqref="O20"/>
    </sheetView>
  </sheetViews>
  <sheetFormatPr defaultRowHeight="14.25" x14ac:dyDescent="0.45"/>
  <cols>
    <col min="18" max="18" width="14.59765625" customWidth="1"/>
    <col min="22" max="22" width="13.3984375" bestFit="1" customWidth="1"/>
    <col min="23" max="23" width="15.265625" bestFit="1" customWidth="1"/>
    <col min="24" max="24" width="7.1328125" customWidth="1"/>
    <col min="25" max="25" width="5.73046875" customWidth="1"/>
    <col min="26" max="33" width="2.73046875" bestFit="1" customWidth="1"/>
    <col min="34" max="34" width="1.86328125" bestFit="1" customWidth="1"/>
    <col min="35" max="39" width="2.73046875" bestFit="1" customWidth="1"/>
    <col min="40" max="46" width="1.86328125" bestFit="1" customWidth="1"/>
    <col min="47" max="47" width="10" bestFit="1" customWidth="1"/>
  </cols>
  <sheetData>
    <row r="1" spans="1:25" ht="26.65" x14ac:dyDescent="0.45">
      <c r="A1" s="2" t="s">
        <v>0</v>
      </c>
      <c r="C1" t="s">
        <v>1</v>
      </c>
      <c r="D1" s="10">
        <v>12022.5</v>
      </c>
      <c r="V1" t="s">
        <v>2</v>
      </c>
      <c r="W1" t="s">
        <v>3</v>
      </c>
      <c r="X1" t="s">
        <v>4</v>
      </c>
      <c r="Y1" t="s">
        <v>5</v>
      </c>
    </row>
    <row r="2" spans="1:25" x14ac:dyDescent="0.45">
      <c r="A2" s="4" t="s">
        <v>6</v>
      </c>
      <c r="P2" s="6" t="s">
        <v>7</v>
      </c>
      <c r="Q2" s="5" t="s">
        <v>8</v>
      </c>
      <c r="V2" t="s">
        <v>9</v>
      </c>
      <c r="W2" t="s">
        <v>10</v>
      </c>
      <c r="X2" t="s">
        <v>11</v>
      </c>
      <c r="Y2" t="s">
        <v>12</v>
      </c>
    </row>
    <row r="3" spans="1:25" x14ac:dyDescent="0.45">
      <c r="A3" s="4" t="s">
        <v>13</v>
      </c>
      <c r="P3" s="7" t="s">
        <v>14</v>
      </c>
      <c r="Q3" t="str" cm="1">
        <f t="array" ref="Q3:T3">_xlfn.TEXTSPLIT(P3, " ")</f>
        <v>HOUR</v>
      </c>
      <c r="R3" t="str">
        <v>SCENARIO</v>
      </c>
      <c r="S3" t="str">
        <v>G</v>
      </c>
      <c r="T3" t="str">
        <v>E</v>
      </c>
      <c r="V3" t="s">
        <v>9</v>
      </c>
      <c r="W3" t="s">
        <v>15</v>
      </c>
      <c r="X3" t="s">
        <v>16</v>
      </c>
      <c r="Y3" t="s">
        <v>12</v>
      </c>
    </row>
    <row r="4" spans="1:25" x14ac:dyDescent="0.45">
      <c r="A4" s="2" t="s">
        <v>2</v>
      </c>
      <c r="B4" s="2" t="s">
        <v>17</v>
      </c>
      <c r="C4" s="2" t="s">
        <v>18</v>
      </c>
      <c r="P4" s="8" t="s">
        <v>19</v>
      </c>
      <c r="Q4" t="str" cm="1">
        <f t="array" ref="Q4:T4">_xlfn.TEXTSPLIT(P4, " ")</f>
        <v>1</v>
      </c>
      <c r="R4" t="str">
        <v>Clear_Breezy</v>
      </c>
      <c r="S4" t="str">
        <v>0.712</v>
      </c>
      <c r="T4" t="str">
        <v>0</v>
      </c>
      <c r="V4" t="s">
        <v>9</v>
      </c>
      <c r="W4" t="s">
        <v>20</v>
      </c>
      <c r="X4" t="s">
        <v>21</v>
      </c>
      <c r="Y4" t="s">
        <v>12</v>
      </c>
    </row>
    <row r="5" spans="1:25" x14ac:dyDescent="0.45">
      <c r="A5" s="3">
        <v>1</v>
      </c>
      <c r="B5" s="3">
        <v>0</v>
      </c>
      <c r="C5" s="3">
        <v>14</v>
      </c>
      <c r="P5" s="8" t="s">
        <v>22</v>
      </c>
      <c r="Q5" t="str" cm="1">
        <f t="array" ref="Q5:T5">_xlfn.TEXTSPLIT(P5, " ")</f>
        <v>1</v>
      </c>
      <c r="R5" t="str">
        <v>Cloudy_Calm</v>
      </c>
      <c r="S5" t="str">
        <v>4.704</v>
      </c>
      <c r="T5" t="str">
        <v>0</v>
      </c>
      <c r="V5" t="s">
        <v>9</v>
      </c>
      <c r="W5" t="s">
        <v>23</v>
      </c>
      <c r="X5" t="s">
        <v>24</v>
      </c>
      <c r="Y5" t="s">
        <v>12</v>
      </c>
    </row>
    <row r="6" spans="1:25" x14ac:dyDescent="0.45">
      <c r="A6" s="3">
        <v>2</v>
      </c>
      <c r="B6" s="3">
        <v>0</v>
      </c>
      <c r="C6" s="3">
        <v>14</v>
      </c>
      <c r="P6" s="8" t="s">
        <v>25</v>
      </c>
      <c r="Q6" t="str" cm="1">
        <f t="array" ref="Q6:T6">_xlfn.TEXTSPLIT(P6, " ")</f>
        <v>1</v>
      </c>
      <c r="R6" t="str">
        <v>Hot_Clear</v>
      </c>
      <c r="S6" t="str">
        <v>2.74</v>
      </c>
      <c r="T6" t="str">
        <v>0</v>
      </c>
      <c r="V6" t="s">
        <v>9</v>
      </c>
      <c r="W6" t="s">
        <v>26</v>
      </c>
      <c r="X6" t="s">
        <v>27</v>
      </c>
      <c r="Y6" t="s">
        <v>12</v>
      </c>
    </row>
    <row r="7" spans="1:25" x14ac:dyDescent="0.45">
      <c r="A7" s="3">
        <v>3</v>
      </c>
      <c r="B7" s="3">
        <v>0</v>
      </c>
      <c r="C7" s="3">
        <v>13.7234</v>
      </c>
      <c r="P7" s="8" t="s">
        <v>28</v>
      </c>
      <c r="Q7" t="str" cm="1">
        <f t="array" ref="Q7:T7">_xlfn.TEXTSPLIT(P7, " ")</f>
        <v>1</v>
      </c>
      <c r="R7" t="str">
        <v>Hot_Cloudy</v>
      </c>
      <c r="S7" t="str">
        <v>2.522</v>
      </c>
      <c r="T7" t="str">
        <v>0</v>
      </c>
      <c r="V7" t="s">
        <v>9</v>
      </c>
      <c r="W7" t="s">
        <v>29</v>
      </c>
      <c r="X7" t="s">
        <v>30</v>
      </c>
      <c r="Y7" t="s">
        <v>12</v>
      </c>
    </row>
    <row r="8" spans="1:25" x14ac:dyDescent="0.45">
      <c r="A8" s="3">
        <v>4</v>
      </c>
      <c r="B8" s="3">
        <v>0</v>
      </c>
      <c r="C8" s="3">
        <v>13.498200000000001</v>
      </c>
      <c r="P8" s="8" t="s">
        <v>31</v>
      </c>
      <c r="Q8" t="str" cm="1">
        <f t="array" ref="Q8:T8">_xlfn.TEXTSPLIT(P8, " ")</f>
        <v>1</v>
      </c>
      <c r="R8" t="str">
        <v>Hot_Hazy</v>
      </c>
      <c r="S8" t="str">
        <v>4.632</v>
      </c>
      <c r="T8" t="str">
        <v>0</v>
      </c>
      <c r="V8" t="s">
        <v>9</v>
      </c>
      <c r="W8" t="s">
        <v>32</v>
      </c>
      <c r="X8" t="s">
        <v>12</v>
      </c>
      <c r="Y8" t="s">
        <v>33</v>
      </c>
    </row>
    <row r="9" spans="1:25" x14ac:dyDescent="0.45">
      <c r="A9" s="3">
        <v>5</v>
      </c>
      <c r="B9" s="3">
        <v>0</v>
      </c>
      <c r="C9" s="3">
        <v>14</v>
      </c>
      <c r="P9" s="8" t="s">
        <v>34</v>
      </c>
      <c r="Q9" t="str" cm="1">
        <f t="array" ref="Q9:T9">_xlfn.TEXTSPLIT(P9, " ")</f>
        <v>1</v>
      </c>
      <c r="R9" t="str">
        <v>Mild_Balanced</v>
      </c>
      <c r="S9" t="str">
        <v>1.74</v>
      </c>
      <c r="T9" t="str">
        <v>0</v>
      </c>
      <c r="V9" t="s">
        <v>9</v>
      </c>
      <c r="W9" t="s">
        <v>35</v>
      </c>
      <c r="X9" t="s">
        <v>36</v>
      </c>
      <c r="Y9" t="s">
        <v>12</v>
      </c>
    </row>
    <row r="10" spans="1:25" x14ac:dyDescent="0.45">
      <c r="A10" s="3">
        <v>6</v>
      </c>
      <c r="B10" s="3">
        <v>0</v>
      </c>
      <c r="C10" s="3">
        <v>14</v>
      </c>
      <c r="P10" s="8" t="s">
        <v>37</v>
      </c>
      <c r="Q10" t="str" cm="1">
        <f t="array" ref="Q10:T10">_xlfn.TEXTSPLIT(P10, " ")</f>
        <v>1</v>
      </c>
      <c r="R10" t="str">
        <v>Overcast_Windy</v>
      </c>
      <c r="S10" t="str">
        <v>0</v>
      </c>
      <c r="T10" t="str">
        <v>1.112</v>
      </c>
      <c r="V10" t="s">
        <v>38</v>
      </c>
      <c r="W10" t="s">
        <v>10</v>
      </c>
      <c r="X10" t="s">
        <v>39</v>
      </c>
      <c r="Y10" t="s">
        <v>12</v>
      </c>
    </row>
    <row r="11" spans="1:25" x14ac:dyDescent="0.45">
      <c r="A11" s="3">
        <v>7</v>
      </c>
      <c r="B11" s="3">
        <v>0</v>
      </c>
      <c r="C11" s="3">
        <v>14</v>
      </c>
      <c r="P11" s="8" t="s">
        <v>40</v>
      </c>
      <c r="Q11" t="str" cm="1">
        <f t="array" ref="Q11:T11">_xlfn.TEXTSPLIT(P11, " ")</f>
        <v>1</v>
      </c>
      <c r="R11" t="str">
        <v>Storm_PM</v>
      </c>
      <c r="S11" t="str">
        <v>2.798</v>
      </c>
      <c r="T11" t="str">
        <v>0</v>
      </c>
      <c r="V11" t="s">
        <v>38</v>
      </c>
      <c r="W11" t="s">
        <v>15</v>
      </c>
      <c r="X11" t="s">
        <v>41</v>
      </c>
      <c r="Y11" t="s">
        <v>12</v>
      </c>
    </row>
    <row r="12" spans="1:25" x14ac:dyDescent="0.45">
      <c r="A12" s="3">
        <v>8</v>
      </c>
      <c r="B12" s="3">
        <v>0</v>
      </c>
      <c r="C12" s="3">
        <v>14</v>
      </c>
      <c r="P12" s="8" t="s">
        <v>42</v>
      </c>
      <c r="Q12" t="str" cm="1">
        <f t="array" ref="Q12:T12">_xlfn.TEXTSPLIT(P12, " ")</f>
        <v>2</v>
      </c>
      <c r="R12" t="str">
        <v>Clear_Breezy</v>
      </c>
      <c r="S12" t="str">
        <v>0.086</v>
      </c>
      <c r="T12" t="str">
        <v>0</v>
      </c>
      <c r="V12" t="s">
        <v>38</v>
      </c>
      <c r="W12" t="s">
        <v>20</v>
      </c>
      <c r="X12" t="s">
        <v>43</v>
      </c>
      <c r="Y12" t="s">
        <v>12</v>
      </c>
    </row>
    <row r="13" spans="1:25" x14ac:dyDescent="0.45">
      <c r="A13" s="3">
        <v>9</v>
      </c>
      <c r="B13" s="3">
        <v>20</v>
      </c>
      <c r="C13" s="3">
        <v>14</v>
      </c>
      <c r="P13" s="8" t="s">
        <v>44</v>
      </c>
      <c r="Q13" t="str" cm="1">
        <f t="array" ref="Q13:T13">_xlfn.TEXTSPLIT(P13, " ")</f>
        <v>2</v>
      </c>
      <c r="R13" t="str">
        <v>Cloudy_Calm</v>
      </c>
      <c r="S13" t="str">
        <v>4.236</v>
      </c>
      <c r="T13" t="str">
        <v>0</v>
      </c>
      <c r="V13" t="s">
        <v>38</v>
      </c>
      <c r="W13" t="s">
        <v>23</v>
      </c>
      <c r="X13" t="s">
        <v>45</v>
      </c>
      <c r="Y13" t="s">
        <v>12</v>
      </c>
    </row>
    <row r="14" spans="1:25" x14ac:dyDescent="0.45">
      <c r="A14" s="3">
        <v>10</v>
      </c>
      <c r="B14" s="3">
        <v>20</v>
      </c>
      <c r="C14" s="3">
        <v>13.04</v>
      </c>
      <c r="P14" s="8" t="s">
        <v>46</v>
      </c>
      <c r="Q14" t="str" cm="1">
        <f t="array" ref="Q14:T14">_xlfn.TEXTSPLIT(P14, " ")</f>
        <v>2</v>
      </c>
      <c r="R14" t="str">
        <v>Hot_Clear</v>
      </c>
      <c r="S14" t="str">
        <v>2.15</v>
      </c>
      <c r="T14" t="str">
        <v>0</v>
      </c>
      <c r="V14" t="s">
        <v>38</v>
      </c>
      <c r="W14" t="s">
        <v>26</v>
      </c>
      <c r="X14" t="s">
        <v>47</v>
      </c>
      <c r="Y14" t="s">
        <v>12</v>
      </c>
    </row>
    <row r="15" spans="1:25" x14ac:dyDescent="0.45">
      <c r="A15" s="3">
        <v>11</v>
      </c>
      <c r="B15" s="3">
        <v>20</v>
      </c>
      <c r="C15" s="3">
        <v>0</v>
      </c>
      <c r="P15" s="8" t="s">
        <v>48</v>
      </c>
      <c r="Q15" t="str" cm="1">
        <f t="array" ref="Q15:T15">_xlfn.TEXTSPLIT(P15, " ")</f>
        <v>2</v>
      </c>
      <c r="R15" t="str">
        <v>Hot_Cloudy</v>
      </c>
      <c r="S15" t="str">
        <v>1.908</v>
      </c>
      <c r="T15" t="str">
        <v>0</v>
      </c>
      <c r="V15" t="s">
        <v>38</v>
      </c>
      <c r="W15" t="s">
        <v>29</v>
      </c>
      <c r="X15" t="s">
        <v>49</v>
      </c>
      <c r="Y15" t="s">
        <v>12</v>
      </c>
    </row>
    <row r="16" spans="1:25" x14ac:dyDescent="0.45">
      <c r="A16" s="3">
        <v>12</v>
      </c>
      <c r="B16" s="3">
        <v>20</v>
      </c>
      <c r="C16" s="3">
        <v>0</v>
      </c>
      <c r="P16" s="8" t="s">
        <v>50</v>
      </c>
      <c r="Q16" t="str" cm="1">
        <f t="array" ref="Q16:T16">_xlfn.TEXTSPLIT(P16, " ")</f>
        <v>2</v>
      </c>
      <c r="R16" t="str">
        <v>Hot_Hazy</v>
      </c>
      <c r="S16" t="str">
        <v>4.116</v>
      </c>
      <c r="T16" t="str">
        <v>0</v>
      </c>
      <c r="V16" t="s">
        <v>38</v>
      </c>
      <c r="W16" t="s">
        <v>32</v>
      </c>
      <c r="X16" t="s">
        <v>12</v>
      </c>
      <c r="Y16" t="s">
        <v>51</v>
      </c>
    </row>
    <row r="17" spans="1:25" x14ac:dyDescent="0.45">
      <c r="A17" s="3">
        <v>13</v>
      </c>
      <c r="B17" s="3">
        <v>20</v>
      </c>
      <c r="C17" s="3">
        <v>0</v>
      </c>
      <c r="P17" s="8" t="s">
        <v>52</v>
      </c>
      <c r="Q17" t="str" cm="1">
        <f t="array" ref="Q17:T17">_xlfn.TEXTSPLIT(P17, " ")</f>
        <v>2</v>
      </c>
      <c r="R17" t="str">
        <v>Mild_Balanced</v>
      </c>
      <c r="S17" t="str">
        <v>1.18</v>
      </c>
      <c r="T17" t="str">
        <v>0</v>
      </c>
      <c r="V17" t="s">
        <v>38</v>
      </c>
      <c r="W17" t="s">
        <v>35</v>
      </c>
      <c r="X17" t="s">
        <v>53</v>
      </c>
      <c r="Y17" t="s">
        <v>12</v>
      </c>
    </row>
    <row r="18" spans="1:25" x14ac:dyDescent="0.45">
      <c r="A18" s="3">
        <v>14</v>
      </c>
      <c r="B18" s="3">
        <v>20</v>
      </c>
      <c r="C18" s="3">
        <v>0</v>
      </c>
      <c r="P18" s="8" t="s">
        <v>54</v>
      </c>
      <c r="Q18" t="str" cm="1">
        <f t="array" ref="Q18:T18">_xlfn.TEXTSPLIT(P18, " ")</f>
        <v>2</v>
      </c>
      <c r="R18" t="str">
        <v>Overcast_Windy</v>
      </c>
      <c r="S18" t="str">
        <v>0</v>
      </c>
      <c r="T18" t="str">
        <v>1.602</v>
      </c>
      <c r="V18" t="s">
        <v>55</v>
      </c>
      <c r="W18" t="s">
        <v>10</v>
      </c>
      <c r="X18" t="s">
        <v>12</v>
      </c>
      <c r="Y18" t="s">
        <v>12</v>
      </c>
    </row>
    <row r="19" spans="1:25" x14ac:dyDescent="0.45">
      <c r="A19" s="3">
        <v>15</v>
      </c>
      <c r="B19" s="3">
        <v>20</v>
      </c>
      <c r="C19" s="3">
        <v>2</v>
      </c>
      <c r="P19" s="8" t="s">
        <v>56</v>
      </c>
      <c r="Q19" t="str" cm="1">
        <f t="array" ref="Q19:T19">_xlfn.TEXTSPLIT(P19, " ")</f>
        <v>2</v>
      </c>
      <c r="R19" t="str">
        <v>Storm_PM</v>
      </c>
      <c r="S19" t="str">
        <v>2.222</v>
      </c>
      <c r="T19" t="str">
        <v>0</v>
      </c>
      <c r="V19" t="s">
        <v>55</v>
      </c>
      <c r="W19" t="s">
        <v>15</v>
      </c>
      <c r="X19" t="s">
        <v>57</v>
      </c>
      <c r="Y19" t="s">
        <v>12</v>
      </c>
    </row>
    <row r="20" spans="1:25" x14ac:dyDescent="0.45">
      <c r="A20" s="3">
        <v>16</v>
      </c>
      <c r="B20" s="3">
        <v>20</v>
      </c>
      <c r="C20" s="3">
        <v>14</v>
      </c>
      <c r="P20" s="8" t="s">
        <v>58</v>
      </c>
      <c r="Q20" t="str" cm="1">
        <f t="array" ref="Q20:T20">_xlfn.TEXTSPLIT(P20, " ")</f>
        <v>3</v>
      </c>
      <c r="R20" t="str">
        <v>Clear_Breezy</v>
      </c>
      <c r="S20" t="str">
        <v>0</v>
      </c>
      <c r="T20" t="str">
        <v>0</v>
      </c>
      <c r="V20" t="s">
        <v>55</v>
      </c>
      <c r="W20" t="s">
        <v>20</v>
      </c>
      <c r="X20" t="s">
        <v>59</v>
      </c>
      <c r="Y20" t="s">
        <v>12</v>
      </c>
    </row>
    <row r="21" spans="1:25" x14ac:dyDescent="0.45">
      <c r="A21" s="3">
        <v>17</v>
      </c>
      <c r="B21" s="3">
        <v>20</v>
      </c>
      <c r="C21" s="3">
        <v>14</v>
      </c>
      <c r="P21" s="8" t="s">
        <v>60</v>
      </c>
      <c r="Q21" t="str" cm="1">
        <f t="array" ref="Q21:T21">_xlfn.TEXTSPLIT(P21, " ")</f>
        <v>3</v>
      </c>
      <c r="R21" t="str">
        <v>Cloudy_Calm</v>
      </c>
      <c r="S21" t="str">
        <v>4.03</v>
      </c>
      <c r="T21" t="str">
        <v>0</v>
      </c>
      <c r="V21" t="s">
        <v>55</v>
      </c>
      <c r="W21" t="s">
        <v>23</v>
      </c>
      <c r="X21" t="s">
        <v>61</v>
      </c>
      <c r="Y21" t="s">
        <v>12</v>
      </c>
    </row>
    <row r="22" spans="1:25" x14ac:dyDescent="0.45">
      <c r="A22" s="3">
        <v>18</v>
      </c>
      <c r="B22" s="3">
        <v>20</v>
      </c>
      <c r="C22" s="3">
        <v>14</v>
      </c>
      <c r="P22" s="8" t="s">
        <v>62</v>
      </c>
      <c r="Q22" t="str" cm="1">
        <f t="array" ref="Q22:T22">_xlfn.TEXTSPLIT(P22, " ")</f>
        <v>3</v>
      </c>
      <c r="R22" t="str">
        <v>Hot_Clear</v>
      </c>
      <c r="S22" t="str">
        <v>1.92</v>
      </c>
      <c r="T22" t="str">
        <v>0</v>
      </c>
      <c r="V22" t="s">
        <v>55</v>
      </c>
      <c r="W22" t="s">
        <v>26</v>
      </c>
      <c r="X22" t="s">
        <v>63</v>
      </c>
      <c r="Y22" t="s">
        <v>12</v>
      </c>
    </row>
    <row r="23" spans="1:25" x14ac:dyDescent="0.45">
      <c r="A23" s="3">
        <v>19</v>
      </c>
      <c r="B23" s="3">
        <v>20</v>
      </c>
      <c r="C23" s="3">
        <v>14</v>
      </c>
      <c r="P23" s="8" t="s">
        <v>64</v>
      </c>
      <c r="Q23" t="str" cm="1">
        <f t="array" ref="Q23:T23">_xlfn.TEXTSPLIT(P23, " ")</f>
        <v>3</v>
      </c>
      <c r="R23" t="str">
        <v>Hot_Cloudy</v>
      </c>
      <c r="S23" t="str">
        <v>1.67064</v>
      </c>
      <c r="T23" t="str">
        <v>0</v>
      </c>
      <c r="V23" t="s">
        <v>55</v>
      </c>
      <c r="W23" t="s">
        <v>29</v>
      </c>
      <c r="X23" t="s">
        <v>65</v>
      </c>
      <c r="Y23" t="s">
        <v>12</v>
      </c>
    </row>
    <row r="24" spans="1:25" x14ac:dyDescent="0.45">
      <c r="A24" s="3">
        <v>20</v>
      </c>
      <c r="B24" s="3">
        <v>0</v>
      </c>
      <c r="C24" s="3">
        <v>14</v>
      </c>
      <c r="P24" s="8" t="s">
        <v>66</v>
      </c>
      <c r="Q24" t="str" cm="1">
        <f t="array" ref="Q24:T24">_xlfn.TEXTSPLIT(P24, " ")</f>
        <v>3</v>
      </c>
      <c r="R24" t="str">
        <v>Hot_Hazy</v>
      </c>
      <c r="S24" t="str">
        <v>3.82287</v>
      </c>
      <c r="T24" t="str">
        <v>0</v>
      </c>
      <c r="V24" t="s">
        <v>55</v>
      </c>
      <c r="W24" t="s">
        <v>32</v>
      </c>
      <c r="X24" t="s">
        <v>12</v>
      </c>
      <c r="Y24" t="s">
        <v>67</v>
      </c>
    </row>
    <row r="25" spans="1:25" x14ac:dyDescent="0.45">
      <c r="A25" s="3">
        <v>21</v>
      </c>
      <c r="B25" s="3">
        <v>0</v>
      </c>
      <c r="C25" s="3">
        <v>14</v>
      </c>
      <c r="P25" s="8" t="s">
        <v>68</v>
      </c>
      <c r="Q25" t="str" cm="1">
        <f t="array" ref="Q25:T25">_xlfn.TEXTSPLIT(P25, " ")</f>
        <v>3</v>
      </c>
      <c r="R25" t="str">
        <v>Mild_Balanced</v>
      </c>
      <c r="S25" t="str">
        <v>0.98</v>
      </c>
      <c r="T25" t="str">
        <v>0</v>
      </c>
      <c r="V25" t="s">
        <v>55</v>
      </c>
      <c r="W25" t="s">
        <v>35</v>
      </c>
      <c r="X25" t="s">
        <v>69</v>
      </c>
      <c r="Y25" t="s">
        <v>12</v>
      </c>
    </row>
    <row r="26" spans="1:25" x14ac:dyDescent="0.45">
      <c r="A26" s="3">
        <v>22</v>
      </c>
      <c r="B26" s="3">
        <v>0</v>
      </c>
      <c r="C26" s="3">
        <v>14</v>
      </c>
      <c r="P26" s="8" t="s">
        <v>70</v>
      </c>
      <c r="Q26" t="str" cm="1">
        <f t="array" ref="Q26:T26">_xlfn.TEXTSPLIT(P26, " ")</f>
        <v>3</v>
      </c>
      <c r="R26" t="str">
        <v>Overcast_Windy</v>
      </c>
      <c r="S26" t="str">
        <v>0</v>
      </c>
      <c r="T26" t="str">
        <v>1.68</v>
      </c>
      <c r="V26" t="s">
        <v>71</v>
      </c>
      <c r="W26" t="s">
        <v>10</v>
      </c>
      <c r="X26" t="s">
        <v>12</v>
      </c>
      <c r="Y26" t="s">
        <v>12</v>
      </c>
    </row>
    <row r="27" spans="1:25" x14ac:dyDescent="0.45">
      <c r="A27" s="3">
        <v>23</v>
      </c>
      <c r="B27" s="3">
        <v>0</v>
      </c>
      <c r="C27" s="3">
        <v>14</v>
      </c>
      <c r="P27" s="8" t="s">
        <v>72</v>
      </c>
      <c r="Q27" t="str" cm="1">
        <f t="array" ref="Q27:T27">_xlfn.TEXTSPLIT(P27, " ")</f>
        <v>3</v>
      </c>
      <c r="R27" t="str">
        <v>Storm_PM</v>
      </c>
      <c r="S27" t="str">
        <v>2.01936</v>
      </c>
      <c r="T27" t="str">
        <v>0</v>
      </c>
      <c r="V27" t="s">
        <v>71</v>
      </c>
      <c r="W27" t="s">
        <v>15</v>
      </c>
      <c r="X27" t="s">
        <v>73</v>
      </c>
      <c r="Y27" t="s">
        <v>12</v>
      </c>
    </row>
    <row r="28" spans="1:25" x14ac:dyDescent="0.45">
      <c r="A28" s="3">
        <v>24</v>
      </c>
      <c r="B28" s="3">
        <v>0</v>
      </c>
      <c r="C28" s="3">
        <v>14</v>
      </c>
      <c r="P28" s="8" t="s">
        <v>74</v>
      </c>
      <c r="Q28" t="str" cm="1">
        <f t="array" ref="Q28:T28">_xlfn.TEXTSPLIT(P28, " ")</f>
        <v>4</v>
      </c>
      <c r="R28" t="str">
        <v>Clear_Breezy</v>
      </c>
      <c r="S28" t="str">
        <v>0</v>
      </c>
      <c r="T28" t="str">
        <v>0</v>
      </c>
      <c r="V28" t="s">
        <v>71</v>
      </c>
      <c r="W28" t="s">
        <v>20</v>
      </c>
      <c r="X28" t="s">
        <v>75</v>
      </c>
      <c r="Y28" t="s">
        <v>12</v>
      </c>
    </row>
    <row r="29" spans="1:25" x14ac:dyDescent="0.45">
      <c r="P29" s="8" t="s">
        <v>76</v>
      </c>
      <c r="Q29" t="str" cm="1">
        <f t="array" ref="Q29:T29">_xlfn.TEXTSPLIT(P29, " ")</f>
        <v>4</v>
      </c>
      <c r="R29" t="str">
        <v>Cloudy_Calm</v>
      </c>
      <c r="S29" t="str">
        <v>3.91251</v>
      </c>
      <c r="T29" t="str">
        <v>0</v>
      </c>
      <c r="V29" t="s">
        <v>71</v>
      </c>
      <c r="W29" t="s">
        <v>23</v>
      </c>
      <c r="X29" t="s">
        <v>77</v>
      </c>
      <c r="Y29" t="s">
        <v>12</v>
      </c>
    </row>
    <row r="30" spans="1:25" x14ac:dyDescent="0.45">
      <c r="P30" s="8" t="s">
        <v>78</v>
      </c>
      <c r="Q30" t="str" cm="1">
        <f t="array" ref="Q30:T30">_xlfn.TEXTSPLIT(P30, " ")</f>
        <v>4</v>
      </c>
      <c r="R30" t="str">
        <v>Hot_Clear</v>
      </c>
      <c r="S30" t="str">
        <v>1.79085</v>
      </c>
      <c r="T30" t="str">
        <v>0</v>
      </c>
      <c r="V30" t="s">
        <v>71</v>
      </c>
      <c r="W30" t="s">
        <v>26</v>
      </c>
      <c r="X30" t="s">
        <v>79</v>
      </c>
      <c r="Y30" t="s">
        <v>12</v>
      </c>
    </row>
    <row r="31" spans="1:25" x14ac:dyDescent="0.45">
      <c r="P31" s="8" t="s">
        <v>80</v>
      </c>
      <c r="Q31" t="str" cm="1">
        <f t="array" ref="Q31:T31">_xlfn.TEXTSPLIT(P31, " ")</f>
        <v>4</v>
      </c>
      <c r="R31" t="str">
        <v>Hot_Cloudy</v>
      </c>
      <c r="S31" t="str">
        <v>1.54689</v>
      </c>
      <c r="T31" t="str">
        <v>0</v>
      </c>
      <c r="V31" t="s">
        <v>71</v>
      </c>
      <c r="W31" t="s">
        <v>29</v>
      </c>
      <c r="X31" t="s">
        <v>81</v>
      </c>
      <c r="Y31" t="s">
        <v>12</v>
      </c>
    </row>
    <row r="32" spans="1:25" x14ac:dyDescent="0.45">
      <c r="P32" s="8" t="s">
        <v>82</v>
      </c>
      <c r="Q32" t="str" cm="1">
        <f t="array" ref="Q32:T32">_xlfn.TEXTSPLIT(P32, " ")</f>
        <v>4</v>
      </c>
      <c r="R32" t="str">
        <v>Hot_Hazy</v>
      </c>
      <c r="S32" t="str">
        <v>3.62813</v>
      </c>
      <c r="T32" t="str">
        <v>0</v>
      </c>
      <c r="V32" t="s">
        <v>71</v>
      </c>
      <c r="W32" t="s">
        <v>32</v>
      </c>
      <c r="X32" t="s">
        <v>12</v>
      </c>
      <c r="Y32" t="s">
        <v>83</v>
      </c>
    </row>
    <row r="33" spans="16:25" x14ac:dyDescent="0.45">
      <c r="P33" s="8" t="s">
        <v>84</v>
      </c>
      <c r="Q33" t="str" cm="1">
        <f t="array" ref="Q33:T33">_xlfn.TEXTSPLIT(P33, " ")</f>
        <v>4</v>
      </c>
      <c r="R33" t="str">
        <v>Mild_Balanced</v>
      </c>
      <c r="S33" t="str">
        <v>0.860848</v>
      </c>
      <c r="T33" t="str">
        <v>0</v>
      </c>
      <c r="V33" t="s">
        <v>71</v>
      </c>
      <c r="W33" t="s">
        <v>35</v>
      </c>
      <c r="X33" t="s">
        <v>85</v>
      </c>
      <c r="Y33" t="s">
        <v>12</v>
      </c>
    </row>
    <row r="34" spans="16:25" x14ac:dyDescent="0.45">
      <c r="P34" s="8" t="s">
        <v>86</v>
      </c>
      <c r="Q34" t="str" cm="1">
        <f t="array" ref="Q34:T34">_xlfn.TEXTSPLIT(P34, " ")</f>
        <v>4</v>
      </c>
      <c r="R34" t="str">
        <v>Overcast_Windy</v>
      </c>
      <c r="S34" t="str">
        <v>0</v>
      </c>
      <c r="T34" t="str">
        <v>1.67583</v>
      </c>
      <c r="V34" t="s">
        <v>87</v>
      </c>
      <c r="W34" t="s">
        <v>10</v>
      </c>
      <c r="X34" t="s">
        <v>88</v>
      </c>
      <c r="Y34" t="s">
        <v>12</v>
      </c>
    </row>
    <row r="35" spans="16:25" x14ac:dyDescent="0.45">
      <c r="P35" s="8" t="s">
        <v>89</v>
      </c>
      <c r="Q35" t="str" cm="1">
        <f t="array" ref="Q35:T35">_xlfn.TEXTSPLIT(P35, " ")</f>
        <v>4</v>
      </c>
      <c r="R35" t="str">
        <v>Storm_PM</v>
      </c>
      <c r="S35" t="str">
        <v>1.87481</v>
      </c>
      <c r="T35" t="str">
        <v>0</v>
      </c>
      <c r="V35" t="s">
        <v>87</v>
      </c>
      <c r="W35" t="s">
        <v>15</v>
      </c>
      <c r="X35" t="s">
        <v>90</v>
      </c>
      <c r="Y35" t="s">
        <v>12</v>
      </c>
    </row>
    <row r="36" spans="16:25" x14ac:dyDescent="0.45">
      <c r="P36" s="8" t="s">
        <v>91</v>
      </c>
      <c r="Q36" t="str" cm="1">
        <f t="array" ref="Q36:T36">_xlfn.TEXTSPLIT(P36, " ")</f>
        <v>5</v>
      </c>
      <c r="R36" t="str">
        <v>Clear_Breezy</v>
      </c>
      <c r="S36" t="str">
        <v>0.334</v>
      </c>
      <c r="T36" t="str">
        <v>0</v>
      </c>
      <c r="V36" t="s">
        <v>87</v>
      </c>
      <c r="W36" t="s">
        <v>20</v>
      </c>
      <c r="X36" t="s">
        <v>92</v>
      </c>
      <c r="Y36" t="s">
        <v>12</v>
      </c>
    </row>
    <row r="37" spans="16:25" x14ac:dyDescent="0.45">
      <c r="P37" s="8" t="s">
        <v>93</v>
      </c>
      <c r="Q37" t="str" cm="1">
        <f t="array" ref="Q37:T37">_xlfn.TEXTSPLIT(P37, " ")</f>
        <v>5</v>
      </c>
      <c r="R37" t="str">
        <v>Cloudy_Calm</v>
      </c>
      <c r="S37" t="str">
        <v>3.91</v>
      </c>
      <c r="T37" t="str">
        <v>0</v>
      </c>
      <c r="V37" t="s">
        <v>87</v>
      </c>
      <c r="W37" t="s">
        <v>23</v>
      </c>
      <c r="X37" t="s">
        <v>94</v>
      </c>
      <c r="Y37" t="s">
        <v>12</v>
      </c>
    </row>
    <row r="38" spans="16:25" x14ac:dyDescent="0.45">
      <c r="P38" s="8" t="s">
        <v>95</v>
      </c>
      <c r="Q38" t="str" cm="1">
        <f t="array" ref="Q38:T38">_xlfn.TEXTSPLIT(P38, " ")</f>
        <v>5</v>
      </c>
      <c r="R38" t="str">
        <v>Hot_Clear</v>
      </c>
      <c r="S38" t="str">
        <v>1.93</v>
      </c>
      <c r="T38" t="str">
        <v>0</v>
      </c>
      <c r="V38" t="s">
        <v>87</v>
      </c>
      <c r="W38" t="s">
        <v>26</v>
      </c>
      <c r="X38" t="s">
        <v>96</v>
      </c>
      <c r="Y38" t="s">
        <v>12</v>
      </c>
    </row>
    <row r="39" spans="16:25" x14ac:dyDescent="0.45">
      <c r="P39" s="8" t="s">
        <v>97</v>
      </c>
      <c r="Q39" t="str" cm="1">
        <f t="array" ref="Q39:T39">_xlfn.TEXTSPLIT(P39, " ")</f>
        <v>5</v>
      </c>
      <c r="R39" t="str">
        <v>Hot_Cloudy</v>
      </c>
      <c r="S39" t="str">
        <v>1.758</v>
      </c>
      <c r="T39" t="str">
        <v>0</v>
      </c>
      <c r="V39" t="s">
        <v>87</v>
      </c>
      <c r="W39" t="s">
        <v>29</v>
      </c>
      <c r="X39" t="s">
        <v>98</v>
      </c>
      <c r="Y39" t="s">
        <v>12</v>
      </c>
    </row>
    <row r="40" spans="16:25" x14ac:dyDescent="0.45">
      <c r="P40" s="8" t="s">
        <v>99</v>
      </c>
      <c r="Q40" t="str" cm="1">
        <f t="array" ref="Q40:T40">_xlfn.TEXTSPLIT(P40, " ")</f>
        <v>5</v>
      </c>
      <c r="R40" t="str">
        <v>Hot_Hazy</v>
      </c>
      <c r="S40" t="str">
        <v>3.77</v>
      </c>
      <c r="T40" t="str">
        <v>0</v>
      </c>
      <c r="V40" t="s">
        <v>87</v>
      </c>
      <c r="W40" t="s">
        <v>32</v>
      </c>
      <c r="X40" t="s">
        <v>12</v>
      </c>
      <c r="Y40" t="s">
        <v>100</v>
      </c>
    </row>
    <row r="41" spans="16:25" x14ac:dyDescent="0.45">
      <c r="P41" s="8" t="s">
        <v>101</v>
      </c>
      <c r="Q41" t="str" cm="1">
        <f t="array" ref="Q41:T41">_xlfn.TEXTSPLIT(P41, " ")</f>
        <v>5</v>
      </c>
      <c r="R41" t="str">
        <v>Mild_Balanced</v>
      </c>
      <c r="S41" t="str">
        <v>0.99</v>
      </c>
      <c r="T41" t="str">
        <v>0</v>
      </c>
      <c r="V41" t="s">
        <v>87</v>
      </c>
      <c r="W41" t="s">
        <v>35</v>
      </c>
      <c r="X41" t="s">
        <v>102</v>
      </c>
      <c r="Y41" t="s">
        <v>12</v>
      </c>
    </row>
    <row r="42" spans="16:25" x14ac:dyDescent="0.45">
      <c r="P42" s="8" t="s">
        <v>103</v>
      </c>
      <c r="Q42" t="str" cm="1">
        <f t="array" ref="Q42:T42">_xlfn.TEXTSPLIT(P42, " ")</f>
        <v>5</v>
      </c>
      <c r="R42" t="str">
        <v>Overcast_Windy</v>
      </c>
      <c r="S42" t="str">
        <v>0</v>
      </c>
      <c r="T42" t="str">
        <v>1.344</v>
      </c>
      <c r="V42" t="s">
        <v>104</v>
      </c>
      <c r="W42" t="s">
        <v>10</v>
      </c>
      <c r="X42" t="s">
        <v>105</v>
      </c>
      <c r="Y42" t="s">
        <v>12</v>
      </c>
    </row>
    <row r="43" spans="16:25" x14ac:dyDescent="0.45">
      <c r="P43" s="8" t="s">
        <v>106</v>
      </c>
      <c r="Q43" t="str" cm="1">
        <f t="array" ref="Q43:T43">_xlfn.TEXTSPLIT(P43, " ")</f>
        <v>5</v>
      </c>
      <c r="R43" t="str">
        <v>Storm_PM</v>
      </c>
      <c r="S43" t="str">
        <v>2.022</v>
      </c>
      <c r="T43" t="str">
        <v>0</v>
      </c>
      <c r="V43" t="s">
        <v>104</v>
      </c>
      <c r="W43" t="s">
        <v>15</v>
      </c>
      <c r="X43" t="s">
        <v>107</v>
      </c>
      <c r="Y43" t="s">
        <v>12</v>
      </c>
    </row>
    <row r="44" spans="16:25" x14ac:dyDescent="0.45">
      <c r="P44" s="8" t="s">
        <v>108</v>
      </c>
      <c r="Q44" t="str" cm="1">
        <f t="array" ref="Q44:T44">_xlfn.TEXTSPLIT(P44, " ")</f>
        <v>6</v>
      </c>
      <c r="R44" t="str">
        <v>Clear_Breezy</v>
      </c>
      <c r="S44" t="str">
        <v>1.65</v>
      </c>
      <c r="T44" t="str">
        <v>0</v>
      </c>
      <c r="V44" t="s">
        <v>104</v>
      </c>
      <c r="W44" t="s">
        <v>20</v>
      </c>
      <c r="X44" t="s">
        <v>109</v>
      </c>
      <c r="Y44" t="s">
        <v>12</v>
      </c>
    </row>
    <row r="45" spans="16:25" x14ac:dyDescent="0.45">
      <c r="P45" s="8" t="s">
        <v>110</v>
      </c>
      <c r="Q45" t="str" cm="1">
        <f t="array" ref="Q45:T45">_xlfn.TEXTSPLIT(P45, " ")</f>
        <v>6</v>
      </c>
      <c r="R45" t="str">
        <v>Cloudy_Calm</v>
      </c>
      <c r="S45" t="str">
        <v>4.634</v>
      </c>
      <c r="T45" t="str">
        <v>0</v>
      </c>
      <c r="V45" t="s">
        <v>104</v>
      </c>
      <c r="W45" t="s">
        <v>23</v>
      </c>
      <c r="X45" t="s">
        <v>111</v>
      </c>
      <c r="Y45" t="s">
        <v>12</v>
      </c>
    </row>
    <row r="46" spans="16:25" x14ac:dyDescent="0.45">
      <c r="P46" s="8" t="s">
        <v>112</v>
      </c>
      <c r="Q46" t="str" cm="1">
        <f t="array" ref="Q46:T46">_xlfn.TEXTSPLIT(P46, " ")</f>
        <v>6</v>
      </c>
      <c r="R46" t="str">
        <v>Hot_Clear</v>
      </c>
      <c r="S46" t="str">
        <v>3.02</v>
      </c>
      <c r="T46" t="str">
        <v>0</v>
      </c>
      <c r="V46" t="s">
        <v>104</v>
      </c>
      <c r="W46" t="s">
        <v>26</v>
      </c>
      <c r="X46" t="s">
        <v>113</v>
      </c>
      <c r="Y46" t="s">
        <v>12</v>
      </c>
    </row>
    <row r="47" spans="16:25" x14ac:dyDescent="0.45">
      <c r="P47" s="8" t="s">
        <v>114</v>
      </c>
      <c r="Q47" t="str" cm="1">
        <f t="array" ref="Q47:T47">_xlfn.TEXTSPLIT(P47, " ")</f>
        <v>6</v>
      </c>
      <c r="R47" t="str">
        <v>Hot_Cloudy</v>
      </c>
      <c r="S47" t="str">
        <v>2.928</v>
      </c>
      <c r="T47" t="str">
        <v>0</v>
      </c>
      <c r="V47" t="s">
        <v>104</v>
      </c>
      <c r="W47" t="s">
        <v>29</v>
      </c>
      <c r="X47" t="s">
        <v>115</v>
      </c>
      <c r="Y47" t="s">
        <v>12</v>
      </c>
    </row>
    <row r="48" spans="16:25" x14ac:dyDescent="0.45">
      <c r="P48" s="8" t="s">
        <v>116</v>
      </c>
      <c r="Q48" t="str" cm="1">
        <f t="array" ref="Q48:T48">_xlfn.TEXTSPLIT(P48, " ")</f>
        <v>6</v>
      </c>
      <c r="R48" t="str">
        <v>Hot_Hazy</v>
      </c>
      <c r="S48" t="str">
        <v>4.716</v>
      </c>
      <c r="T48" t="str">
        <v>0</v>
      </c>
      <c r="V48" t="s">
        <v>104</v>
      </c>
      <c r="W48" t="s">
        <v>32</v>
      </c>
      <c r="X48" t="s">
        <v>117</v>
      </c>
      <c r="Y48" t="s">
        <v>12</v>
      </c>
    </row>
    <row r="49" spans="16:25" x14ac:dyDescent="0.45">
      <c r="P49" s="8" t="s">
        <v>118</v>
      </c>
      <c r="Q49" t="str" cm="1">
        <f t="array" ref="Q49:T49">_xlfn.TEXTSPLIT(P49, " ")</f>
        <v>6</v>
      </c>
      <c r="R49" t="str">
        <v>Mild_Balanced</v>
      </c>
      <c r="S49" t="str">
        <v>2.1</v>
      </c>
      <c r="T49" t="str">
        <v>0</v>
      </c>
      <c r="V49" t="s">
        <v>104</v>
      </c>
      <c r="W49" t="s">
        <v>35</v>
      </c>
      <c r="X49" t="s">
        <v>119</v>
      </c>
      <c r="Y49" t="s">
        <v>12</v>
      </c>
    </row>
    <row r="50" spans="16:25" x14ac:dyDescent="0.45">
      <c r="P50" s="8" t="s">
        <v>120</v>
      </c>
      <c r="Q50" t="str" cm="1">
        <f t="array" ref="Q50:T50">_xlfn.TEXTSPLIT(P50, " ")</f>
        <v>6</v>
      </c>
      <c r="R50" t="str">
        <v>Overcast_Windy</v>
      </c>
      <c r="S50" t="str">
        <v>0.144</v>
      </c>
      <c r="T50" t="str">
        <v>0</v>
      </c>
      <c r="V50" t="s">
        <v>121</v>
      </c>
      <c r="W50" t="s">
        <v>10</v>
      </c>
      <c r="X50" t="s">
        <v>122</v>
      </c>
      <c r="Y50" t="s">
        <v>12</v>
      </c>
    </row>
    <row r="51" spans="16:25" x14ac:dyDescent="0.45">
      <c r="P51" s="8" t="s">
        <v>123</v>
      </c>
      <c r="Q51" t="str" cm="1">
        <f t="array" ref="Q51:T51">_xlfn.TEXTSPLIT(P51, " ")</f>
        <v>6</v>
      </c>
      <c r="R51" t="str">
        <v>Storm_PM</v>
      </c>
      <c r="S51" t="str">
        <v>3.064</v>
      </c>
      <c r="T51" t="str">
        <v>0</v>
      </c>
      <c r="V51" t="s">
        <v>121</v>
      </c>
      <c r="W51" t="s">
        <v>15</v>
      </c>
      <c r="X51" t="s">
        <v>124</v>
      </c>
      <c r="Y51" t="s">
        <v>12</v>
      </c>
    </row>
    <row r="52" spans="16:25" x14ac:dyDescent="0.45">
      <c r="P52" s="8" t="s">
        <v>125</v>
      </c>
      <c r="Q52" t="str" cm="1">
        <f t="array" ref="Q52:T52">_xlfn.TEXTSPLIT(P52, " ")</f>
        <v>7</v>
      </c>
      <c r="R52" t="str">
        <v>Clear_Breezy</v>
      </c>
      <c r="S52" t="str">
        <v>3.612</v>
      </c>
      <c r="T52" t="str">
        <v>0</v>
      </c>
      <c r="V52" t="s">
        <v>121</v>
      </c>
      <c r="W52" t="s">
        <v>20</v>
      </c>
      <c r="X52" t="s">
        <v>126</v>
      </c>
      <c r="Y52" t="s">
        <v>12</v>
      </c>
    </row>
    <row r="53" spans="16:25" x14ac:dyDescent="0.45">
      <c r="P53" s="8" t="s">
        <v>127</v>
      </c>
      <c r="Q53" t="str" cm="1">
        <f t="array" ref="Q53:T53">_xlfn.TEXTSPLIT(P53, " ")</f>
        <v>7</v>
      </c>
      <c r="R53" t="str">
        <v>Cloudy_Calm</v>
      </c>
      <c r="S53" t="str">
        <v>6.084</v>
      </c>
      <c r="T53" t="str">
        <v>0</v>
      </c>
      <c r="V53" t="s">
        <v>121</v>
      </c>
      <c r="W53" t="s">
        <v>23</v>
      </c>
      <c r="X53" t="s">
        <v>128</v>
      </c>
      <c r="Y53" t="s">
        <v>12</v>
      </c>
    </row>
    <row r="54" spans="16:25" x14ac:dyDescent="0.45">
      <c r="P54" s="8" t="s">
        <v>129</v>
      </c>
      <c r="Q54" t="str" cm="1">
        <f t="array" ref="Q54:T54">_xlfn.TEXTSPLIT(P54, " ")</f>
        <v>7</v>
      </c>
      <c r="R54" t="str">
        <v>Hot_Clear</v>
      </c>
      <c r="S54" t="str">
        <v>4.89</v>
      </c>
      <c r="T54" t="str">
        <v>0</v>
      </c>
      <c r="V54" t="s">
        <v>121</v>
      </c>
      <c r="W54" t="s">
        <v>26</v>
      </c>
      <c r="X54" t="s">
        <v>130</v>
      </c>
      <c r="Y54" t="s">
        <v>12</v>
      </c>
    </row>
    <row r="55" spans="16:25" x14ac:dyDescent="0.45">
      <c r="P55" s="8" t="s">
        <v>131</v>
      </c>
      <c r="Q55" t="str" cm="1">
        <f t="array" ref="Q55:T55">_xlfn.TEXTSPLIT(P55, " ")</f>
        <v>7</v>
      </c>
      <c r="R55" t="str">
        <v>Hot_Cloudy</v>
      </c>
      <c r="S55" t="str">
        <v>4.892</v>
      </c>
      <c r="T55" t="str">
        <v>0</v>
      </c>
      <c r="V55" t="s">
        <v>121</v>
      </c>
      <c r="W55" t="s">
        <v>29</v>
      </c>
      <c r="X55" t="s">
        <v>132</v>
      </c>
      <c r="Y55" t="s">
        <v>12</v>
      </c>
    </row>
    <row r="56" spans="16:25" x14ac:dyDescent="0.45">
      <c r="P56" s="8" t="s">
        <v>133</v>
      </c>
      <c r="Q56" t="str" cm="1">
        <f t="array" ref="Q56:T56">_xlfn.TEXTSPLIT(P56, " ")</f>
        <v>7</v>
      </c>
      <c r="R56" t="str">
        <v>Hot_Hazy</v>
      </c>
      <c r="S56" t="str">
        <v>6.382</v>
      </c>
      <c r="T56" t="str">
        <v>0</v>
      </c>
      <c r="V56" t="s">
        <v>121</v>
      </c>
      <c r="W56" t="s">
        <v>32</v>
      </c>
      <c r="X56" t="s">
        <v>134</v>
      </c>
      <c r="Y56" t="s">
        <v>12</v>
      </c>
    </row>
    <row r="57" spans="16:25" x14ac:dyDescent="0.45">
      <c r="P57" s="8" t="s">
        <v>135</v>
      </c>
      <c r="Q57" t="str" cm="1">
        <f t="array" ref="Q57:T57">_xlfn.TEXTSPLIT(P57, " ")</f>
        <v>7</v>
      </c>
      <c r="R57" t="str">
        <v>Mild_Balanced</v>
      </c>
      <c r="S57" t="str">
        <v>3.938</v>
      </c>
      <c r="T57" t="str">
        <v>0</v>
      </c>
      <c r="V57" t="s">
        <v>121</v>
      </c>
      <c r="W57" t="s">
        <v>35</v>
      </c>
      <c r="X57" t="s">
        <v>136</v>
      </c>
      <c r="Y57" t="s">
        <v>12</v>
      </c>
    </row>
    <row r="58" spans="16:25" x14ac:dyDescent="0.45">
      <c r="P58" s="8" t="s">
        <v>137</v>
      </c>
      <c r="Q58" t="str" cm="1">
        <f t="array" ref="Q58:T58">_xlfn.TEXTSPLIT(P58, " ")</f>
        <v>7</v>
      </c>
      <c r="R58" t="str">
        <v>Overcast_Windy</v>
      </c>
      <c r="S58" t="str">
        <v>2.196</v>
      </c>
      <c r="T58" t="str">
        <v>0</v>
      </c>
      <c r="V58" t="s">
        <v>138</v>
      </c>
      <c r="W58" t="s">
        <v>10</v>
      </c>
      <c r="X58" t="s">
        <v>139</v>
      </c>
      <c r="Y58" t="s">
        <v>12</v>
      </c>
    </row>
    <row r="59" spans="16:25" x14ac:dyDescent="0.45">
      <c r="P59" s="8" t="s">
        <v>140</v>
      </c>
      <c r="Q59" t="str" cm="1">
        <f t="array" ref="Q59:T59">_xlfn.TEXTSPLIT(P59, " ")</f>
        <v>7</v>
      </c>
      <c r="R59" t="str">
        <v>Storm_PM</v>
      </c>
      <c r="S59" t="str">
        <v>4.698</v>
      </c>
      <c r="T59" t="str">
        <v>0</v>
      </c>
      <c r="V59" t="s">
        <v>138</v>
      </c>
      <c r="W59" t="s">
        <v>15</v>
      </c>
      <c r="X59" t="s">
        <v>141</v>
      </c>
      <c r="Y59" t="s">
        <v>12</v>
      </c>
    </row>
    <row r="60" spans="16:25" x14ac:dyDescent="0.45">
      <c r="P60" s="8" t="s">
        <v>142</v>
      </c>
      <c r="Q60" t="str" cm="1">
        <f t="array" ref="Q60:T60">_xlfn.TEXTSPLIT(P60, " ")</f>
        <v>8</v>
      </c>
      <c r="R60" t="str">
        <v>Clear_Breezy</v>
      </c>
      <c r="S60" t="str">
        <v>5.736</v>
      </c>
      <c r="T60" t="str">
        <v>0</v>
      </c>
      <c r="V60" t="s">
        <v>138</v>
      </c>
      <c r="W60" t="s">
        <v>20</v>
      </c>
      <c r="X60" t="s">
        <v>143</v>
      </c>
      <c r="Y60" t="s">
        <v>12</v>
      </c>
    </row>
    <row r="61" spans="16:25" x14ac:dyDescent="0.45">
      <c r="P61" s="8" t="s">
        <v>144</v>
      </c>
      <c r="Q61" t="str" cm="1">
        <f t="array" ref="Q61:T61">_xlfn.TEXTSPLIT(P61, " ")</f>
        <v>8</v>
      </c>
      <c r="R61" t="str">
        <v>Cloudy_Calm</v>
      </c>
      <c r="S61" t="str">
        <v>7.748</v>
      </c>
      <c r="T61" t="str">
        <v>0</v>
      </c>
      <c r="V61" t="s">
        <v>138</v>
      </c>
      <c r="W61" t="s">
        <v>23</v>
      </c>
      <c r="X61" t="s">
        <v>145</v>
      </c>
      <c r="Y61" t="s">
        <v>12</v>
      </c>
    </row>
    <row r="62" spans="16:25" x14ac:dyDescent="0.45">
      <c r="P62" s="8" t="s">
        <v>146</v>
      </c>
      <c r="Q62" t="str" cm="1">
        <f t="array" ref="Q62:T62">_xlfn.TEXTSPLIT(P62, " ")</f>
        <v>8</v>
      </c>
      <c r="R62" t="str">
        <v>Hot_Clear</v>
      </c>
      <c r="S62" t="str">
        <v>7.08</v>
      </c>
      <c r="T62" t="str">
        <v>0</v>
      </c>
      <c r="V62" t="s">
        <v>138</v>
      </c>
      <c r="W62" t="s">
        <v>26</v>
      </c>
      <c r="X62" t="s">
        <v>147</v>
      </c>
      <c r="Y62" t="s">
        <v>12</v>
      </c>
    </row>
    <row r="63" spans="16:25" x14ac:dyDescent="0.45">
      <c r="P63" s="8" t="s">
        <v>148</v>
      </c>
      <c r="Q63" t="str" cm="1">
        <f t="array" ref="Q63:T63">_xlfn.TEXTSPLIT(P63, " ")</f>
        <v>8</v>
      </c>
      <c r="R63" t="str">
        <v>Hot_Cloudy</v>
      </c>
      <c r="S63" t="str">
        <v>7.148</v>
      </c>
      <c r="T63" t="str">
        <v>0</v>
      </c>
      <c r="V63" t="s">
        <v>138</v>
      </c>
      <c r="W63" t="s">
        <v>29</v>
      </c>
      <c r="X63" t="s">
        <v>149</v>
      </c>
      <c r="Y63" t="s">
        <v>12</v>
      </c>
    </row>
    <row r="64" spans="16:25" x14ac:dyDescent="0.45">
      <c r="P64" s="8" t="s">
        <v>150</v>
      </c>
      <c r="Q64" t="str" cm="1">
        <f t="array" ref="Q64:T64">_xlfn.TEXTSPLIT(P64, " ")</f>
        <v>8</v>
      </c>
      <c r="R64" t="str">
        <v>Hot_Hazy</v>
      </c>
      <c r="S64" t="str">
        <v>8.378</v>
      </c>
      <c r="T64" t="str">
        <v>0</v>
      </c>
      <c r="V64" t="s">
        <v>138</v>
      </c>
      <c r="W64" t="s">
        <v>32</v>
      </c>
      <c r="X64" t="s">
        <v>151</v>
      </c>
      <c r="Y64" t="s">
        <v>12</v>
      </c>
    </row>
    <row r="65" spans="16:25" x14ac:dyDescent="0.45">
      <c r="P65" s="8" t="s">
        <v>152</v>
      </c>
      <c r="Q65" t="str" cm="1">
        <f t="array" ref="Q65:T65">_xlfn.TEXTSPLIT(P65, " ")</f>
        <v>8</v>
      </c>
      <c r="R65" t="str">
        <v>Mild_Balanced</v>
      </c>
      <c r="S65" t="str">
        <v>5.864</v>
      </c>
      <c r="T65" t="str">
        <v>0</v>
      </c>
      <c r="V65" t="s">
        <v>138</v>
      </c>
      <c r="W65" t="s">
        <v>35</v>
      </c>
      <c r="X65" t="s">
        <v>153</v>
      </c>
      <c r="Y65" t="s">
        <v>12</v>
      </c>
    </row>
    <row r="66" spans="16:25" x14ac:dyDescent="0.45">
      <c r="P66" s="8" t="s">
        <v>154</v>
      </c>
      <c r="Q66" t="str" cm="1">
        <f t="array" ref="Q66:T66">_xlfn.TEXTSPLIT(P66, " ")</f>
        <v>8</v>
      </c>
      <c r="R66" t="str">
        <v>Overcast_Windy</v>
      </c>
      <c r="S66" t="str">
        <v>4.41</v>
      </c>
      <c r="T66" t="str">
        <v>0</v>
      </c>
      <c r="V66" t="s">
        <v>155</v>
      </c>
      <c r="W66" t="s">
        <v>10</v>
      </c>
      <c r="X66" t="s">
        <v>156</v>
      </c>
      <c r="Y66" t="s">
        <v>12</v>
      </c>
    </row>
    <row r="67" spans="16:25" x14ac:dyDescent="0.45">
      <c r="P67" s="8" t="s">
        <v>157</v>
      </c>
      <c r="Q67" t="str" cm="1">
        <f t="array" ref="Q67:T67">_xlfn.TEXTSPLIT(P67, " ")</f>
        <v>8</v>
      </c>
      <c r="R67" t="str">
        <v>Storm_PM</v>
      </c>
      <c r="S67" t="str">
        <v>6.64</v>
      </c>
      <c r="T67" t="str">
        <v>0</v>
      </c>
      <c r="V67" t="s">
        <v>155</v>
      </c>
      <c r="W67" t="s">
        <v>15</v>
      </c>
      <c r="X67" t="s">
        <v>158</v>
      </c>
      <c r="Y67" t="s">
        <v>12</v>
      </c>
    </row>
    <row r="68" spans="16:25" x14ac:dyDescent="0.45">
      <c r="P68" s="8" t="s">
        <v>159</v>
      </c>
      <c r="Q68" t="str" cm="1">
        <f t="array" ref="Q68:T68">_xlfn.TEXTSPLIT(P68, " ")</f>
        <v>9</v>
      </c>
      <c r="R68" t="str">
        <v>Clear_Breezy</v>
      </c>
      <c r="S68" t="str">
        <v>2.562</v>
      </c>
      <c r="T68" t="str">
        <v>0</v>
      </c>
      <c r="V68" t="s">
        <v>155</v>
      </c>
      <c r="W68" t="s">
        <v>20</v>
      </c>
      <c r="X68" t="s">
        <v>160</v>
      </c>
      <c r="Y68" t="s">
        <v>12</v>
      </c>
    </row>
    <row r="69" spans="16:25" x14ac:dyDescent="0.45">
      <c r="P69" s="8" t="s">
        <v>161</v>
      </c>
      <c r="Q69" t="str" cm="1">
        <f t="array" ref="Q69:T69">_xlfn.TEXTSPLIT(P69, " ")</f>
        <v>9</v>
      </c>
      <c r="R69" t="str">
        <v>Cloudy_Calm</v>
      </c>
      <c r="S69" t="str">
        <v>6.616</v>
      </c>
      <c r="T69" t="str">
        <v>0</v>
      </c>
      <c r="V69" t="s">
        <v>155</v>
      </c>
      <c r="W69" t="s">
        <v>23</v>
      </c>
      <c r="X69" t="s">
        <v>162</v>
      </c>
      <c r="Y69" t="s">
        <v>12</v>
      </c>
    </row>
    <row r="70" spans="16:25" x14ac:dyDescent="0.45">
      <c r="P70" s="8" t="s">
        <v>163</v>
      </c>
      <c r="Q70" t="str" cm="1">
        <f t="array" ref="Q70:T70">_xlfn.TEXTSPLIT(P70, " ")</f>
        <v>9</v>
      </c>
      <c r="R70" t="str">
        <v>Hot_Clear</v>
      </c>
      <c r="S70" t="str">
        <v>4.02</v>
      </c>
      <c r="T70" t="str">
        <v>0</v>
      </c>
      <c r="V70" t="s">
        <v>155</v>
      </c>
      <c r="W70" t="s">
        <v>26</v>
      </c>
      <c r="X70" t="s">
        <v>164</v>
      </c>
      <c r="Y70" t="s">
        <v>12</v>
      </c>
    </row>
    <row r="71" spans="16:25" x14ac:dyDescent="0.45">
      <c r="P71" s="8" t="s">
        <v>165</v>
      </c>
      <c r="Q71" t="str" cm="1">
        <f t="array" ref="Q71:T71">_xlfn.TEXTSPLIT(P71, " ")</f>
        <v>9</v>
      </c>
      <c r="R71" t="str">
        <v>Hot_Cloudy</v>
      </c>
      <c r="S71" t="str">
        <v>6.06</v>
      </c>
      <c r="T71" t="str">
        <v>0</v>
      </c>
      <c r="V71" t="s">
        <v>155</v>
      </c>
      <c r="W71" t="s">
        <v>29</v>
      </c>
      <c r="X71" t="s">
        <v>166</v>
      </c>
      <c r="Y71" t="s">
        <v>12</v>
      </c>
    </row>
    <row r="72" spans="16:25" x14ac:dyDescent="0.45">
      <c r="P72" s="8" t="s">
        <v>167</v>
      </c>
      <c r="Q72" t="str" cm="1">
        <f t="array" ref="Q72:T72">_xlfn.TEXTSPLIT(P72, " ")</f>
        <v>9</v>
      </c>
      <c r="R72" t="str">
        <v>Hot_Hazy</v>
      </c>
      <c r="S72" t="str">
        <v>5.678</v>
      </c>
      <c r="T72" t="str">
        <v>0</v>
      </c>
      <c r="V72" t="s">
        <v>155</v>
      </c>
      <c r="W72" t="s">
        <v>32</v>
      </c>
      <c r="X72" t="s">
        <v>168</v>
      </c>
      <c r="Y72" t="s">
        <v>12</v>
      </c>
    </row>
    <row r="73" spans="16:25" x14ac:dyDescent="0.45">
      <c r="P73" s="8" t="s">
        <v>169</v>
      </c>
      <c r="Q73" t="str" cm="1">
        <f t="array" ref="Q73:T73">_xlfn.TEXTSPLIT(P73, " ")</f>
        <v>9</v>
      </c>
      <c r="R73" t="str">
        <v>Mild_Balanced</v>
      </c>
      <c r="S73" t="str">
        <v>2.944</v>
      </c>
      <c r="T73" t="str">
        <v>0</v>
      </c>
      <c r="V73" t="s">
        <v>155</v>
      </c>
      <c r="W73" t="s">
        <v>35</v>
      </c>
      <c r="X73" t="s">
        <v>170</v>
      </c>
      <c r="Y73" t="s">
        <v>12</v>
      </c>
    </row>
    <row r="74" spans="16:25" x14ac:dyDescent="0.45">
      <c r="P74" s="8" t="s">
        <v>171</v>
      </c>
      <c r="Q74" t="str" cm="1">
        <f t="array" ref="Q74:T74">_xlfn.TEXTSPLIT(P74, " ")</f>
        <v>9</v>
      </c>
      <c r="R74" t="str">
        <v>Overcast_Windy</v>
      </c>
      <c r="S74" t="str">
        <v>4.47</v>
      </c>
      <c r="T74" t="str">
        <v>0</v>
      </c>
      <c r="V74" t="s">
        <v>172</v>
      </c>
      <c r="W74" t="s">
        <v>10</v>
      </c>
      <c r="X74" t="s">
        <v>12</v>
      </c>
      <c r="Y74" t="s">
        <v>12</v>
      </c>
    </row>
    <row r="75" spans="16:25" x14ac:dyDescent="0.45">
      <c r="P75" s="8" t="s">
        <v>173</v>
      </c>
      <c r="Q75" t="str" cm="1">
        <f t="array" ref="Q75:T75">_xlfn.TEXTSPLIT(P75, " ")</f>
        <v>9</v>
      </c>
      <c r="R75" t="str">
        <v>Storm_PM</v>
      </c>
      <c r="S75" t="str">
        <v>3.528</v>
      </c>
      <c r="T75" t="str">
        <v>0</v>
      </c>
      <c r="V75" t="s">
        <v>172</v>
      </c>
      <c r="W75" t="s">
        <v>15</v>
      </c>
      <c r="X75" t="s">
        <v>174</v>
      </c>
      <c r="Y75" t="s">
        <v>12</v>
      </c>
    </row>
    <row r="76" spans="16:25" x14ac:dyDescent="0.45">
      <c r="P76" s="8" t="s">
        <v>175</v>
      </c>
      <c r="Q76" t="str" cm="1">
        <f t="array" ref="Q76:T76">_xlfn.TEXTSPLIT(P76, " ")</f>
        <v>10</v>
      </c>
      <c r="R76" t="str">
        <v>Clear_Breezy</v>
      </c>
      <c r="S76" t="str">
        <v>0</v>
      </c>
      <c r="T76" t="str">
        <v>0</v>
      </c>
      <c r="V76" t="s">
        <v>172</v>
      </c>
      <c r="W76" t="s">
        <v>20</v>
      </c>
      <c r="X76" t="s">
        <v>176</v>
      </c>
      <c r="Y76" t="s">
        <v>12</v>
      </c>
    </row>
    <row r="77" spans="16:25" x14ac:dyDescent="0.45">
      <c r="P77" s="8" t="s">
        <v>177</v>
      </c>
      <c r="Q77" t="str" cm="1">
        <f t="array" ref="Q77:T77">_xlfn.TEXTSPLIT(P77, " ")</f>
        <v>10</v>
      </c>
      <c r="R77" t="str">
        <v>Cloudy_Calm</v>
      </c>
      <c r="S77" t="str">
        <v>5.50408</v>
      </c>
      <c r="T77" t="str">
        <v>0</v>
      </c>
      <c r="V77" t="s">
        <v>172</v>
      </c>
      <c r="W77" t="s">
        <v>23</v>
      </c>
      <c r="X77" t="s">
        <v>178</v>
      </c>
      <c r="Y77" t="s">
        <v>12</v>
      </c>
    </row>
    <row r="78" spans="16:25" x14ac:dyDescent="0.45">
      <c r="P78" s="8" t="s">
        <v>179</v>
      </c>
      <c r="Q78" t="str" cm="1">
        <f t="array" ref="Q78:T78">_xlfn.TEXTSPLIT(P78, " ")</f>
        <v>10</v>
      </c>
      <c r="R78" t="str">
        <v>Hot_Clear</v>
      </c>
      <c r="S78" t="str">
        <v>1.7104</v>
      </c>
      <c r="T78" t="str">
        <v>0</v>
      </c>
      <c r="V78" t="s">
        <v>172</v>
      </c>
      <c r="W78" t="s">
        <v>26</v>
      </c>
      <c r="X78" t="s">
        <v>180</v>
      </c>
      <c r="Y78" t="s">
        <v>12</v>
      </c>
    </row>
    <row r="79" spans="16:25" x14ac:dyDescent="0.45">
      <c r="P79" s="8" t="s">
        <v>181</v>
      </c>
      <c r="Q79" t="str" cm="1">
        <f t="array" ref="Q79:T79">_xlfn.TEXTSPLIT(P79, " ")</f>
        <v>10</v>
      </c>
      <c r="R79" t="str">
        <v>Hot_Cloudy</v>
      </c>
      <c r="S79" t="str">
        <v>5.2604</v>
      </c>
      <c r="T79" t="str">
        <v>0</v>
      </c>
      <c r="V79" t="s">
        <v>172</v>
      </c>
      <c r="W79" t="s">
        <v>29</v>
      </c>
      <c r="X79" t="s">
        <v>182</v>
      </c>
      <c r="Y79" t="s">
        <v>12</v>
      </c>
    </row>
    <row r="80" spans="16:25" x14ac:dyDescent="0.45">
      <c r="P80" s="8" t="s">
        <v>183</v>
      </c>
      <c r="Q80" t="str" cm="1">
        <f t="array" ref="Q80:T80">_xlfn.TEXTSPLIT(P80, " ")</f>
        <v>10</v>
      </c>
      <c r="R80" t="str">
        <v>Hot_Hazy</v>
      </c>
      <c r="S80" t="str">
        <v>3.38152</v>
      </c>
      <c r="T80" t="str">
        <v>0</v>
      </c>
      <c r="V80" t="s">
        <v>172</v>
      </c>
      <c r="W80" t="s">
        <v>32</v>
      </c>
      <c r="X80" t="s">
        <v>184</v>
      </c>
      <c r="Y80" t="s">
        <v>12</v>
      </c>
    </row>
    <row r="81" spans="16:25" x14ac:dyDescent="0.45">
      <c r="P81" s="8" t="s">
        <v>185</v>
      </c>
      <c r="Q81" t="str" cm="1">
        <f t="array" ref="Q81:T81">_xlfn.TEXTSPLIT(P81, " ")</f>
        <v>10</v>
      </c>
      <c r="R81" t="str">
        <v>Mild_Balanced</v>
      </c>
      <c r="S81" t="str">
        <v>0.49648</v>
      </c>
      <c r="T81" t="str">
        <v>0</v>
      </c>
      <c r="V81" t="s">
        <v>172</v>
      </c>
      <c r="W81" t="s">
        <v>35</v>
      </c>
      <c r="X81" t="s">
        <v>186</v>
      </c>
      <c r="Y81" t="s">
        <v>12</v>
      </c>
    </row>
    <row r="82" spans="16:25" x14ac:dyDescent="0.45">
      <c r="P82" s="8" t="s">
        <v>187</v>
      </c>
      <c r="Q82" t="str" cm="1">
        <f t="array" ref="Q82:T82">_xlfn.TEXTSPLIT(P82, " ")</f>
        <v>10</v>
      </c>
      <c r="R82" t="str">
        <v>Overcast_Windy</v>
      </c>
      <c r="S82" t="str">
        <v>4.60928</v>
      </c>
      <c r="T82" t="str">
        <v>0</v>
      </c>
      <c r="V82" t="s">
        <v>188</v>
      </c>
      <c r="W82" t="s">
        <v>10</v>
      </c>
      <c r="X82" t="s">
        <v>12</v>
      </c>
      <c r="Y82" t="s">
        <v>189</v>
      </c>
    </row>
    <row r="83" spans="16:25" x14ac:dyDescent="0.45">
      <c r="P83" s="8" t="s">
        <v>190</v>
      </c>
      <c r="Q83" t="str" cm="1">
        <f t="array" ref="Q83:T83">_xlfn.TEXTSPLIT(P83, " ")</f>
        <v>10</v>
      </c>
      <c r="R83" t="str">
        <v>Storm_PM</v>
      </c>
      <c r="S83" t="str">
        <v>1.40784</v>
      </c>
      <c r="T83" t="str">
        <v>0</v>
      </c>
      <c r="V83" t="s">
        <v>188</v>
      </c>
      <c r="W83" t="s">
        <v>15</v>
      </c>
      <c r="X83" t="s">
        <v>191</v>
      </c>
      <c r="Y83" t="s">
        <v>12</v>
      </c>
    </row>
    <row r="84" spans="16:25" x14ac:dyDescent="0.45">
      <c r="P84" s="8" t="s">
        <v>192</v>
      </c>
      <c r="Q84" t="str" cm="1">
        <f t="array" ref="Q84:T84">_xlfn.TEXTSPLIT(P84, " ")</f>
        <v>11</v>
      </c>
      <c r="R84" t="str">
        <v>Clear_Breezy</v>
      </c>
      <c r="S84" t="str">
        <v>0</v>
      </c>
      <c r="T84" t="str">
        <v>0.39</v>
      </c>
      <c r="V84" t="s">
        <v>188</v>
      </c>
      <c r="W84" t="s">
        <v>20</v>
      </c>
      <c r="X84" t="s">
        <v>193</v>
      </c>
      <c r="Y84" t="s">
        <v>12</v>
      </c>
    </row>
    <row r="85" spans="16:25" x14ac:dyDescent="0.45">
      <c r="P85" s="8" t="s">
        <v>194</v>
      </c>
      <c r="Q85" t="str" cm="1">
        <f t="array" ref="Q85:T85">_xlfn.TEXTSPLIT(P85, " ")</f>
        <v>11</v>
      </c>
      <c r="R85" t="str">
        <v>Cloudy_Calm</v>
      </c>
      <c r="S85" t="str">
        <v>5.94</v>
      </c>
      <c r="T85" t="str">
        <v>0</v>
      </c>
      <c r="V85" t="s">
        <v>188</v>
      </c>
      <c r="W85" t="s">
        <v>23</v>
      </c>
      <c r="X85" t="s">
        <v>195</v>
      </c>
      <c r="Y85" t="s">
        <v>12</v>
      </c>
    </row>
    <row r="86" spans="16:25" x14ac:dyDescent="0.45">
      <c r="P86" s="8" t="s">
        <v>196</v>
      </c>
      <c r="Q86" t="str" cm="1">
        <f t="array" ref="Q86:T86">_xlfn.TEXTSPLIT(P86, " ")</f>
        <v>11</v>
      </c>
      <c r="R86" t="str">
        <v>Hot_Clear</v>
      </c>
      <c r="S86" t="str">
        <v>1.5</v>
      </c>
      <c r="T86" t="str">
        <v>0</v>
      </c>
      <c r="V86" t="s">
        <v>188</v>
      </c>
      <c r="W86" t="s">
        <v>26</v>
      </c>
      <c r="X86" t="s">
        <v>197</v>
      </c>
      <c r="Y86" t="s">
        <v>12</v>
      </c>
    </row>
    <row r="87" spans="16:25" x14ac:dyDescent="0.45">
      <c r="P87" s="8" t="s">
        <v>198</v>
      </c>
      <c r="Q87" t="str" cm="1">
        <f t="array" ref="Q87:T87">_xlfn.TEXTSPLIT(P87, " ")</f>
        <v>11</v>
      </c>
      <c r="R87" t="str">
        <v>Hot_Cloudy</v>
      </c>
      <c r="S87" t="str">
        <v>6.4</v>
      </c>
      <c r="T87" t="str">
        <v>0</v>
      </c>
      <c r="V87" t="s">
        <v>188</v>
      </c>
      <c r="W87" t="s">
        <v>29</v>
      </c>
      <c r="X87" t="s">
        <v>199</v>
      </c>
      <c r="Y87" t="s">
        <v>12</v>
      </c>
    </row>
    <row r="88" spans="16:25" x14ac:dyDescent="0.45">
      <c r="P88" s="8" t="s">
        <v>200</v>
      </c>
      <c r="Q88" t="str" cm="1">
        <f t="array" ref="Q88:T88">_xlfn.TEXTSPLIT(P88, " ")</f>
        <v>11</v>
      </c>
      <c r="R88" t="str">
        <v>Hot_Hazy</v>
      </c>
      <c r="S88" t="str">
        <v>2.58</v>
      </c>
      <c r="T88" t="str">
        <v>0</v>
      </c>
      <c r="V88" t="s">
        <v>188</v>
      </c>
      <c r="W88" t="s">
        <v>32</v>
      </c>
      <c r="X88" t="s">
        <v>201</v>
      </c>
      <c r="Y88" t="s">
        <v>12</v>
      </c>
    </row>
    <row r="89" spans="16:25" x14ac:dyDescent="0.45">
      <c r="P89" s="8" t="s">
        <v>202</v>
      </c>
      <c r="Q89" t="str" cm="1">
        <f t="array" ref="Q89:T89">_xlfn.TEXTSPLIT(P89, " ")</f>
        <v>11</v>
      </c>
      <c r="R89" t="str">
        <v>Mild_Balanced</v>
      </c>
      <c r="S89" t="str">
        <v>0.24</v>
      </c>
      <c r="T89" t="str">
        <v>0</v>
      </c>
      <c r="V89" t="s">
        <v>188</v>
      </c>
      <c r="W89" t="s">
        <v>35</v>
      </c>
      <c r="X89" t="s">
        <v>203</v>
      </c>
      <c r="Y89" t="s">
        <v>12</v>
      </c>
    </row>
    <row r="90" spans="16:25" x14ac:dyDescent="0.45">
      <c r="P90" s="8" t="s">
        <v>204</v>
      </c>
      <c r="Q90" t="str" cm="1">
        <f t="array" ref="Q90:T90">_xlfn.TEXTSPLIT(P90, " ")</f>
        <v>11</v>
      </c>
      <c r="R90" t="str">
        <v>Overcast_Windy</v>
      </c>
      <c r="S90" t="str">
        <v>7.24</v>
      </c>
      <c r="T90" t="str">
        <v>0</v>
      </c>
      <c r="V90" t="s">
        <v>205</v>
      </c>
      <c r="W90" t="s">
        <v>10</v>
      </c>
      <c r="X90" t="s">
        <v>12</v>
      </c>
      <c r="Y90" t="s">
        <v>206</v>
      </c>
    </row>
    <row r="91" spans="16:25" x14ac:dyDescent="0.45">
      <c r="P91" s="8" t="s">
        <v>207</v>
      </c>
      <c r="Q91" t="str" cm="1">
        <f t="array" ref="Q91:T91">_xlfn.TEXTSPLIT(P91, " ")</f>
        <v>11</v>
      </c>
      <c r="R91" t="str">
        <v>Storm_PM</v>
      </c>
      <c r="S91" t="str">
        <v>2.65</v>
      </c>
      <c r="T91" t="str">
        <v>0</v>
      </c>
      <c r="V91" t="s">
        <v>205</v>
      </c>
      <c r="W91" t="s">
        <v>15</v>
      </c>
      <c r="X91" t="s">
        <v>208</v>
      </c>
      <c r="Y91" t="s">
        <v>12</v>
      </c>
    </row>
    <row r="92" spans="16:25" x14ac:dyDescent="0.45">
      <c r="P92" s="8" t="s">
        <v>209</v>
      </c>
      <c r="Q92" t="str" cm="1">
        <f t="array" ref="Q92:T92">_xlfn.TEXTSPLIT(P92, " ")</f>
        <v>12</v>
      </c>
      <c r="R92" t="str">
        <v>Clear_Breezy</v>
      </c>
      <c r="S92" t="str">
        <v>0</v>
      </c>
      <c r="T92" t="str">
        <v>3.05</v>
      </c>
      <c r="V92" t="s">
        <v>205</v>
      </c>
      <c r="W92" t="s">
        <v>20</v>
      </c>
      <c r="X92" t="s">
        <v>12</v>
      </c>
      <c r="Y92" t="s">
        <v>210</v>
      </c>
    </row>
    <row r="93" spans="16:25" x14ac:dyDescent="0.45">
      <c r="P93" s="8" t="s">
        <v>211</v>
      </c>
      <c r="Q93" t="str" cm="1">
        <f t="array" ref="Q93:T93">_xlfn.TEXTSPLIT(P93, " ")</f>
        <v>12</v>
      </c>
      <c r="R93" t="str">
        <v>Cloudy_Calm</v>
      </c>
      <c r="S93" t="str">
        <v>4.46</v>
      </c>
      <c r="T93" t="str">
        <v>0</v>
      </c>
      <c r="V93" t="s">
        <v>205</v>
      </c>
      <c r="W93" t="s">
        <v>23</v>
      </c>
      <c r="X93" t="s">
        <v>212</v>
      </c>
      <c r="Y93" t="s">
        <v>12</v>
      </c>
    </row>
    <row r="94" spans="16:25" x14ac:dyDescent="0.45">
      <c r="P94" s="8" t="s">
        <v>213</v>
      </c>
      <c r="Q94" t="str" cm="1">
        <f t="array" ref="Q94:T94">_xlfn.TEXTSPLIT(P94, " ")</f>
        <v>12</v>
      </c>
      <c r="R94" t="str">
        <v>Hot_Clear</v>
      </c>
      <c r="S94" t="str">
        <v>0</v>
      </c>
      <c r="T94" t="str">
        <v>0.79</v>
      </c>
      <c r="V94" t="s">
        <v>205</v>
      </c>
      <c r="W94" t="s">
        <v>26</v>
      </c>
      <c r="X94" t="s">
        <v>214</v>
      </c>
      <c r="Y94" t="s">
        <v>12</v>
      </c>
    </row>
    <row r="95" spans="16:25" x14ac:dyDescent="0.45">
      <c r="P95" s="8" t="s">
        <v>215</v>
      </c>
      <c r="Q95" t="str" cm="1">
        <f t="array" ref="Q95:T95">_xlfn.TEXTSPLIT(P95, " ")</f>
        <v>12</v>
      </c>
      <c r="R95" t="str">
        <v>Hot_Cloudy</v>
      </c>
      <c r="S95" t="str">
        <v>4.94</v>
      </c>
      <c r="T95" t="str">
        <v>0</v>
      </c>
      <c r="V95" t="s">
        <v>205</v>
      </c>
      <c r="W95" t="s">
        <v>29</v>
      </c>
      <c r="X95" t="s">
        <v>12</v>
      </c>
      <c r="Y95" t="s">
        <v>216</v>
      </c>
    </row>
    <row r="96" spans="16:25" x14ac:dyDescent="0.45">
      <c r="P96" s="8" t="s">
        <v>217</v>
      </c>
      <c r="Q96" t="str" cm="1">
        <f t="array" ref="Q96:T96">_xlfn.TEXTSPLIT(P96, " ")</f>
        <v>12</v>
      </c>
      <c r="R96" t="str">
        <v>Hot_Hazy</v>
      </c>
      <c r="S96" t="str">
        <v>0.49</v>
      </c>
      <c r="T96" t="str">
        <v>0</v>
      </c>
      <c r="V96" t="s">
        <v>205</v>
      </c>
      <c r="W96" t="s">
        <v>32</v>
      </c>
      <c r="X96" t="s">
        <v>218</v>
      </c>
      <c r="Y96" t="s">
        <v>12</v>
      </c>
    </row>
    <row r="97" spans="16:25" x14ac:dyDescent="0.45">
      <c r="P97" s="8" t="s">
        <v>219</v>
      </c>
      <c r="Q97" t="str" cm="1">
        <f t="array" ref="Q97:T97">_xlfn.TEXTSPLIT(P97, " ")</f>
        <v>12</v>
      </c>
      <c r="R97" t="str">
        <v>Mild_Balanced</v>
      </c>
      <c r="S97" t="str">
        <v>0</v>
      </c>
      <c r="T97" t="str">
        <v>2.32</v>
      </c>
      <c r="V97" t="s">
        <v>205</v>
      </c>
      <c r="W97" t="s">
        <v>35</v>
      </c>
      <c r="X97" t="s">
        <v>220</v>
      </c>
      <c r="Y97" t="s">
        <v>12</v>
      </c>
    </row>
    <row r="98" spans="16:25" x14ac:dyDescent="0.45">
      <c r="P98" s="8" t="s">
        <v>221</v>
      </c>
      <c r="Q98" t="str" cm="1">
        <f t="array" ref="Q98:T98">_xlfn.TEXTSPLIT(P98, " ")</f>
        <v>12</v>
      </c>
      <c r="R98" t="str">
        <v>Overcast_Windy</v>
      </c>
      <c r="S98" t="str">
        <v>6.38</v>
      </c>
      <c r="T98" t="str">
        <v>0</v>
      </c>
      <c r="V98" t="s">
        <v>222</v>
      </c>
      <c r="W98" t="s">
        <v>10</v>
      </c>
      <c r="X98" t="s">
        <v>12</v>
      </c>
      <c r="Y98" t="s">
        <v>223</v>
      </c>
    </row>
    <row r="99" spans="16:25" x14ac:dyDescent="0.45">
      <c r="P99" s="8" t="s">
        <v>224</v>
      </c>
      <c r="Q99" t="str" cm="1">
        <f t="array" ref="Q99:T99">_xlfn.TEXTSPLIT(P99, " ")</f>
        <v>12</v>
      </c>
      <c r="R99" t="str">
        <v>Storm_PM</v>
      </c>
      <c r="S99" t="str">
        <v>2.95</v>
      </c>
      <c r="T99" t="str">
        <v>0</v>
      </c>
      <c r="V99" t="s">
        <v>222</v>
      </c>
      <c r="W99" t="s">
        <v>15</v>
      </c>
      <c r="X99" t="s">
        <v>225</v>
      </c>
      <c r="Y99" t="s">
        <v>12</v>
      </c>
    </row>
    <row r="100" spans="16:25" x14ac:dyDescent="0.45">
      <c r="P100" s="8" t="s">
        <v>226</v>
      </c>
      <c r="Q100" t="str" cm="1">
        <f t="array" ref="Q100:T100">_xlfn.TEXTSPLIT(P100, " ")</f>
        <v>13</v>
      </c>
      <c r="R100" t="str">
        <v>Clear_Breezy</v>
      </c>
      <c r="S100" t="str">
        <v>0</v>
      </c>
      <c r="T100" t="str">
        <v>4.12</v>
      </c>
      <c r="V100" t="s">
        <v>222</v>
      </c>
      <c r="W100" t="s">
        <v>20</v>
      </c>
      <c r="X100" t="s">
        <v>12</v>
      </c>
      <c r="Y100" t="s">
        <v>227</v>
      </c>
    </row>
    <row r="101" spans="16:25" x14ac:dyDescent="0.45">
      <c r="P101" s="8" t="s">
        <v>228</v>
      </c>
      <c r="Q101" t="str" cm="1">
        <f t="array" ref="Q101:T101">_xlfn.TEXTSPLIT(P101, " ")</f>
        <v>13</v>
      </c>
      <c r="R101" t="str">
        <v>Cloudy_Calm</v>
      </c>
      <c r="S101" t="str">
        <v>4.1</v>
      </c>
      <c r="T101" t="str">
        <v>0</v>
      </c>
      <c r="V101" t="s">
        <v>222</v>
      </c>
      <c r="W101" t="s">
        <v>23</v>
      </c>
      <c r="X101" t="s">
        <v>229</v>
      </c>
      <c r="Y101" t="s">
        <v>12</v>
      </c>
    </row>
    <row r="102" spans="16:25" x14ac:dyDescent="0.45">
      <c r="P102" s="8" t="s">
        <v>230</v>
      </c>
      <c r="Q102" t="str" cm="1">
        <f t="array" ref="Q102:T102">_xlfn.TEXTSPLIT(P102, " ")</f>
        <v>13</v>
      </c>
      <c r="R102" t="str">
        <v>Hot_Clear</v>
      </c>
      <c r="S102" t="str">
        <v>0</v>
      </c>
      <c r="T102" t="str">
        <v>1.57</v>
      </c>
      <c r="V102" t="s">
        <v>222</v>
      </c>
      <c r="W102" t="s">
        <v>26</v>
      </c>
      <c r="X102" t="s">
        <v>12</v>
      </c>
      <c r="Y102" t="s">
        <v>12</v>
      </c>
    </row>
    <row r="103" spans="16:25" x14ac:dyDescent="0.45">
      <c r="P103" s="8" t="s">
        <v>231</v>
      </c>
      <c r="Q103" t="str" cm="1">
        <f t="array" ref="Q103:T103">_xlfn.TEXTSPLIT(P103, " ")</f>
        <v>13</v>
      </c>
      <c r="R103" t="str">
        <v>Hot_Cloudy</v>
      </c>
      <c r="S103" t="str">
        <v>4.34</v>
      </c>
      <c r="T103" t="str">
        <v>0</v>
      </c>
      <c r="V103" t="s">
        <v>222</v>
      </c>
      <c r="W103" t="s">
        <v>29</v>
      </c>
      <c r="X103" t="s">
        <v>12</v>
      </c>
      <c r="Y103" t="s">
        <v>232</v>
      </c>
    </row>
    <row r="104" spans="16:25" x14ac:dyDescent="0.45">
      <c r="P104" s="8" t="s">
        <v>233</v>
      </c>
      <c r="Q104" t="str" cm="1">
        <f t="array" ref="Q104:T104">_xlfn.TEXTSPLIT(P104, " ")</f>
        <v>13</v>
      </c>
      <c r="R104" t="str">
        <v>Hot_Hazy</v>
      </c>
      <c r="S104" t="str">
        <v>0</v>
      </c>
      <c r="T104" t="str">
        <v>0</v>
      </c>
      <c r="V104" t="s">
        <v>222</v>
      </c>
      <c r="W104" t="s">
        <v>32</v>
      </c>
      <c r="X104" t="s">
        <v>234</v>
      </c>
      <c r="Y104" t="s">
        <v>12</v>
      </c>
    </row>
    <row r="105" spans="16:25" x14ac:dyDescent="0.45">
      <c r="P105" s="8" t="s">
        <v>235</v>
      </c>
      <c r="Q105" t="str" cm="1">
        <f t="array" ref="Q105:T105">_xlfn.TEXTSPLIT(P105, " ")</f>
        <v>13</v>
      </c>
      <c r="R105" t="str">
        <v>Mild_Balanced</v>
      </c>
      <c r="S105" t="str">
        <v>0</v>
      </c>
      <c r="T105" t="str">
        <v>3.45</v>
      </c>
      <c r="V105" t="s">
        <v>222</v>
      </c>
      <c r="W105" t="s">
        <v>35</v>
      </c>
      <c r="X105" t="s">
        <v>236</v>
      </c>
      <c r="Y105" t="s">
        <v>12</v>
      </c>
    </row>
    <row r="106" spans="16:25" x14ac:dyDescent="0.45">
      <c r="P106" s="8" t="s">
        <v>237</v>
      </c>
      <c r="Q106" t="str" cm="1">
        <f t="array" ref="Q106:T106">_xlfn.TEXTSPLIT(P106, " ")</f>
        <v>13</v>
      </c>
      <c r="R106" t="str">
        <v>Overcast_Windy</v>
      </c>
      <c r="S106" t="str">
        <v>5.95</v>
      </c>
      <c r="T106" t="str">
        <v>0</v>
      </c>
      <c r="V106" t="s">
        <v>238</v>
      </c>
      <c r="W106" t="s">
        <v>10</v>
      </c>
      <c r="X106" t="s">
        <v>12</v>
      </c>
      <c r="Y106" t="s">
        <v>96</v>
      </c>
    </row>
    <row r="107" spans="16:25" x14ac:dyDescent="0.45">
      <c r="P107" s="8" t="s">
        <v>239</v>
      </c>
      <c r="Q107" t="str" cm="1">
        <f t="array" ref="Q107:T107">_xlfn.TEXTSPLIT(P107, " ")</f>
        <v>13</v>
      </c>
      <c r="R107" t="str">
        <v>Storm_PM</v>
      </c>
      <c r="S107" t="str">
        <v>6.79</v>
      </c>
      <c r="T107" t="str">
        <v>0</v>
      </c>
      <c r="V107" t="s">
        <v>238</v>
      </c>
      <c r="W107" t="s">
        <v>15</v>
      </c>
      <c r="X107" t="s">
        <v>240</v>
      </c>
      <c r="Y107" t="s">
        <v>12</v>
      </c>
    </row>
    <row r="108" spans="16:25" x14ac:dyDescent="0.45">
      <c r="P108" s="8" t="s">
        <v>241</v>
      </c>
      <c r="Q108" t="str" cm="1">
        <f t="array" ref="Q108:T108">_xlfn.TEXTSPLIT(P108, " ")</f>
        <v>14</v>
      </c>
      <c r="R108" t="str">
        <v>Clear_Breezy</v>
      </c>
      <c r="S108" t="str">
        <v>0</v>
      </c>
      <c r="T108" t="str">
        <v>3.77</v>
      </c>
      <c r="V108" t="s">
        <v>238</v>
      </c>
      <c r="W108" t="s">
        <v>20</v>
      </c>
      <c r="X108" t="s">
        <v>12</v>
      </c>
      <c r="Y108" t="s">
        <v>242</v>
      </c>
    </row>
    <row r="109" spans="16:25" x14ac:dyDescent="0.45">
      <c r="P109" s="8" t="s">
        <v>243</v>
      </c>
      <c r="Q109" t="str" cm="1">
        <f t="array" ref="Q109:T109">_xlfn.TEXTSPLIT(P109, " ")</f>
        <v>14</v>
      </c>
      <c r="R109" t="str">
        <v>Cloudy_Calm</v>
      </c>
      <c r="S109" t="str">
        <v>4.64</v>
      </c>
      <c r="T109" t="str">
        <v>0</v>
      </c>
      <c r="V109" t="s">
        <v>238</v>
      </c>
      <c r="W109" t="s">
        <v>23</v>
      </c>
      <c r="X109" t="s">
        <v>126</v>
      </c>
      <c r="Y109" t="s">
        <v>12</v>
      </c>
    </row>
    <row r="110" spans="16:25" x14ac:dyDescent="0.45">
      <c r="P110" s="8" t="s">
        <v>244</v>
      </c>
      <c r="Q110" t="str" cm="1">
        <f t="array" ref="Q110:T110">_xlfn.TEXTSPLIT(P110, " ")</f>
        <v>14</v>
      </c>
      <c r="R110" t="str">
        <v>Hot_Clear</v>
      </c>
      <c r="S110" t="str">
        <v>0</v>
      </c>
      <c r="T110" t="str">
        <v>1.15</v>
      </c>
      <c r="V110" t="s">
        <v>238</v>
      </c>
      <c r="W110" t="s">
        <v>26</v>
      </c>
      <c r="X110" t="s">
        <v>245</v>
      </c>
      <c r="Y110" t="s">
        <v>12</v>
      </c>
    </row>
    <row r="111" spans="16:25" x14ac:dyDescent="0.45">
      <c r="P111" s="8" t="s">
        <v>246</v>
      </c>
      <c r="Q111" t="str" cm="1">
        <f t="array" ref="Q111:T111">_xlfn.TEXTSPLIT(P111, " ")</f>
        <v>14</v>
      </c>
      <c r="R111" t="str">
        <v>Hot_Cloudy</v>
      </c>
      <c r="S111" t="str">
        <v>4.89</v>
      </c>
      <c r="T111" t="str">
        <v>0</v>
      </c>
      <c r="V111" t="s">
        <v>238</v>
      </c>
      <c r="W111" t="s">
        <v>29</v>
      </c>
      <c r="X111" t="s">
        <v>12</v>
      </c>
      <c r="Y111" t="s">
        <v>247</v>
      </c>
    </row>
    <row r="112" spans="16:25" x14ac:dyDescent="0.45">
      <c r="P112" s="8" t="s">
        <v>248</v>
      </c>
      <c r="Q112" t="str" cm="1">
        <f t="array" ref="Q112:T112">_xlfn.TEXTSPLIT(P112, " ")</f>
        <v>14</v>
      </c>
      <c r="R112" t="str">
        <v>Hot_Hazy</v>
      </c>
      <c r="S112" t="str">
        <v>0.66</v>
      </c>
      <c r="T112" t="str">
        <v>0</v>
      </c>
      <c r="V112" t="s">
        <v>238</v>
      </c>
      <c r="W112" t="s">
        <v>32</v>
      </c>
      <c r="X112" t="s">
        <v>249</v>
      </c>
      <c r="Y112" t="s">
        <v>12</v>
      </c>
    </row>
    <row r="113" spans="16:25" x14ac:dyDescent="0.45">
      <c r="P113" s="8" t="s">
        <v>250</v>
      </c>
      <c r="Q113" t="str" cm="1">
        <f t="array" ref="Q113:T113">_xlfn.TEXTSPLIT(P113, " ")</f>
        <v>14</v>
      </c>
      <c r="R113" t="str">
        <v>Mild_Balanced</v>
      </c>
      <c r="S113" t="str">
        <v>0</v>
      </c>
      <c r="T113" t="str">
        <v>3.23</v>
      </c>
      <c r="V113" t="s">
        <v>238</v>
      </c>
      <c r="W113" t="s">
        <v>35</v>
      </c>
      <c r="X113" t="s">
        <v>251</v>
      </c>
      <c r="Y113" t="s">
        <v>12</v>
      </c>
    </row>
    <row r="114" spans="16:25" x14ac:dyDescent="0.45">
      <c r="P114" s="8" t="s">
        <v>252</v>
      </c>
      <c r="Q114" t="str" cm="1">
        <f t="array" ref="Q114:T114">_xlfn.TEXTSPLIT(P114, " ")</f>
        <v>14</v>
      </c>
      <c r="R114" t="str">
        <v>Overcast_Windy</v>
      </c>
      <c r="S114" t="str">
        <v>6.18</v>
      </c>
      <c r="T114" t="str">
        <v>0</v>
      </c>
      <c r="V114" t="s">
        <v>253</v>
      </c>
      <c r="W114" t="s">
        <v>10</v>
      </c>
      <c r="X114" t="s">
        <v>12</v>
      </c>
      <c r="Y114" t="s">
        <v>254</v>
      </c>
    </row>
    <row r="115" spans="16:25" x14ac:dyDescent="0.45">
      <c r="P115" s="8" t="s">
        <v>255</v>
      </c>
      <c r="Q115" t="str" cm="1">
        <f t="array" ref="Q115:T115">_xlfn.TEXTSPLIT(P115, " ")</f>
        <v>14</v>
      </c>
      <c r="R115" t="str">
        <v>Storm_PM</v>
      </c>
      <c r="S115" t="str">
        <v>11.13</v>
      </c>
      <c r="T115" t="str">
        <v>0</v>
      </c>
      <c r="V115" t="s">
        <v>253</v>
      </c>
      <c r="W115" t="s">
        <v>15</v>
      </c>
      <c r="X115" t="s">
        <v>256</v>
      </c>
      <c r="Y115" t="s">
        <v>12</v>
      </c>
    </row>
    <row r="116" spans="16:25" x14ac:dyDescent="0.45">
      <c r="P116" s="8" t="s">
        <v>257</v>
      </c>
      <c r="Q116" t="str" cm="1">
        <f t="array" ref="Q116:T116">_xlfn.TEXTSPLIT(P116, " ")</f>
        <v>15</v>
      </c>
      <c r="R116" t="str">
        <v>Clear_Breezy</v>
      </c>
      <c r="S116" t="str">
        <v>0</v>
      </c>
      <c r="T116" t="str">
        <v>2.84</v>
      </c>
      <c r="V116" t="s">
        <v>253</v>
      </c>
      <c r="W116" t="s">
        <v>20</v>
      </c>
      <c r="X116" t="s">
        <v>12</v>
      </c>
      <c r="Y116" t="s">
        <v>12</v>
      </c>
    </row>
    <row r="117" spans="16:25" x14ac:dyDescent="0.45">
      <c r="P117" s="8" t="s">
        <v>258</v>
      </c>
      <c r="Q117" t="str" cm="1">
        <f t="array" ref="Q117:T117">_xlfn.TEXTSPLIT(P117, " ")</f>
        <v>15</v>
      </c>
      <c r="R117" t="str">
        <v>Cloudy_Calm</v>
      </c>
      <c r="S117" t="str">
        <v>5.526</v>
      </c>
      <c r="T117" t="str">
        <v>0</v>
      </c>
      <c r="V117" t="s">
        <v>253</v>
      </c>
      <c r="W117" t="s">
        <v>23</v>
      </c>
      <c r="X117" t="s">
        <v>259</v>
      </c>
      <c r="Y117" t="s">
        <v>12</v>
      </c>
    </row>
    <row r="118" spans="16:25" x14ac:dyDescent="0.45">
      <c r="P118" s="8" t="s">
        <v>260</v>
      </c>
      <c r="Q118" t="str" cm="1">
        <f t="array" ref="Q118:T118">_xlfn.TEXTSPLIT(P118, " ")</f>
        <v>15</v>
      </c>
      <c r="R118" t="str">
        <v>Hot_Clear</v>
      </c>
      <c r="S118" t="str">
        <v>0</v>
      </c>
      <c r="T118" t="str">
        <v>0</v>
      </c>
      <c r="V118" t="s">
        <v>253</v>
      </c>
      <c r="W118" t="s">
        <v>26</v>
      </c>
      <c r="X118" t="s">
        <v>261</v>
      </c>
      <c r="Y118" t="s">
        <v>12</v>
      </c>
    </row>
    <row r="119" spans="16:25" x14ac:dyDescent="0.45">
      <c r="P119" s="8" t="s">
        <v>262</v>
      </c>
      <c r="Q119" t="str" cm="1">
        <f t="array" ref="Q119:T119">_xlfn.TEXTSPLIT(P119, " ")</f>
        <v>15</v>
      </c>
      <c r="R119" t="str">
        <v>Hot_Cloudy</v>
      </c>
      <c r="S119" t="str">
        <v>6.134</v>
      </c>
      <c r="T119" t="str">
        <v>0</v>
      </c>
      <c r="V119" t="s">
        <v>253</v>
      </c>
      <c r="W119" t="s">
        <v>29</v>
      </c>
      <c r="X119" t="s">
        <v>12</v>
      </c>
      <c r="Y119" t="s">
        <v>263</v>
      </c>
    </row>
    <row r="120" spans="16:25" x14ac:dyDescent="0.45">
      <c r="P120" s="8" t="s">
        <v>264</v>
      </c>
      <c r="Q120" t="str" cm="1">
        <f t="array" ref="Q120:T120">_xlfn.TEXTSPLIT(P120, " ")</f>
        <v>15</v>
      </c>
      <c r="R120" t="str">
        <v>Hot_Hazy</v>
      </c>
      <c r="S120" t="str">
        <v>2.176</v>
      </c>
      <c r="T120" t="str">
        <v>0</v>
      </c>
      <c r="V120" t="s">
        <v>253</v>
      </c>
      <c r="W120" t="s">
        <v>32</v>
      </c>
      <c r="X120" t="s">
        <v>265</v>
      </c>
      <c r="Y120" t="s">
        <v>12</v>
      </c>
    </row>
    <row r="121" spans="16:25" x14ac:dyDescent="0.45">
      <c r="P121" s="8" t="s">
        <v>266</v>
      </c>
      <c r="Q121" t="str" cm="1">
        <f t="array" ref="Q121:T121">_xlfn.TEXTSPLIT(P121, " ")</f>
        <v>15</v>
      </c>
      <c r="R121" t="str">
        <v>Mild_Balanced</v>
      </c>
      <c r="S121" t="str">
        <v>0</v>
      </c>
      <c r="T121" t="str">
        <v>2.368</v>
      </c>
      <c r="V121" t="s">
        <v>253</v>
      </c>
      <c r="W121" t="s">
        <v>35</v>
      </c>
      <c r="X121" t="s">
        <v>267</v>
      </c>
      <c r="Y121" t="s">
        <v>12</v>
      </c>
    </row>
    <row r="122" spans="16:25" x14ac:dyDescent="0.45">
      <c r="P122" s="8" t="s">
        <v>268</v>
      </c>
      <c r="Q122" t="str" cm="1">
        <f t="array" ref="Q122:T122">_xlfn.TEXTSPLIT(P122, " ")</f>
        <v>15</v>
      </c>
      <c r="R122" t="str">
        <v>Overcast_Windy</v>
      </c>
      <c r="S122" t="str">
        <v>6.558</v>
      </c>
      <c r="T122" t="str">
        <v>0</v>
      </c>
      <c r="V122" t="s">
        <v>269</v>
      </c>
      <c r="W122" t="s">
        <v>10</v>
      </c>
      <c r="X122" t="s">
        <v>12</v>
      </c>
      <c r="Y122" t="s">
        <v>270</v>
      </c>
    </row>
    <row r="123" spans="16:25" x14ac:dyDescent="0.45">
      <c r="P123" s="8" t="s">
        <v>271</v>
      </c>
      <c r="Q123" t="str" cm="1">
        <f t="array" ref="Q123:T123">_xlfn.TEXTSPLIT(P123, " ")</f>
        <v>15</v>
      </c>
      <c r="R123" t="str">
        <v>Storm_PM</v>
      </c>
      <c r="S123" t="str">
        <v>11.646</v>
      </c>
      <c r="T123" t="str">
        <v>0</v>
      </c>
      <c r="V123" t="s">
        <v>269</v>
      </c>
      <c r="W123" t="s">
        <v>15</v>
      </c>
      <c r="X123" t="s">
        <v>272</v>
      </c>
      <c r="Y123" t="s">
        <v>12</v>
      </c>
    </row>
    <row r="124" spans="16:25" x14ac:dyDescent="0.45">
      <c r="P124" s="8" t="s">
        <v>273</v>
      </c>
      <c r="Q124" t="str" cm="1">
        <f t="array" ref="Q124:T124">_xlfn.TEXTSPLIT(P124, " ")</f>
        <v>16</v>
      </c>
      <c r="R124" t="str">
        <v>Clear_Breezy</v>
      </c>
      <c r="S124" t="str">
        <v>0</v>
      </c>
      <c r="T124" t="str">
        <v>2.718</v>
      </c>
      <c r="V124" t="s">
        <v>269</v>
      </c>
      <c r="W124" t="s">
        <v>20</v>
      </c>
      <c r="X124" t="s">
        <v>274</v>
      </c>
      <c r="Y124" t="s">
        <v>12</v>
      </c>
    </row>
    <row r="125" spans="16:25" x14ac:dyDescent="0.45">
      <c r="P125" s="8" t="s">
        <v>275</v>
      </c>
      <c r="Q125" t="str" cm="1">
        <f t="array" ref="Q125:T125">_xlfn.TEXTSPLIT(P125, " ")</f>
        <v>16</v>
      </c>
      <c r="R125" t="str">
        <v>Cloudy_Calm</v>
      </c>
      <c r="S125" t="str">
        <v>5.824</v>
      </c>
      <c r="T125" t="str">
        <v>0</v>
      </c>
      <c r="V125" t="s">
        <v>269</v>
      </c>
      <c r="W125" t="s">
        <v>23</v>
      </c>
      <c r="X125" t="s">
        <v>276</v>
      </c>
      <c r="Y125" t="s">
        <v>12</v>
      </c>
    </row>
    <row r="126" spans="16:25" x14ac:dyDescent="0.45">
      <c r="P126" s="8" t="s">
        <v>277</v>
      </c>
      <c r="Q126" t="str" cm="1">
        <f t="array" ref="Q126:T126">_xlfn.TEXTSPLIT(P126, " ")</f>
        <v>16</v>
      </c>
      <c r="R126" t="str">
        <v>Hot_Clear</v>
      </c>
      <c r="S126" t="str">
        <v>0.43</v>
      </c>
      <c r="T126" t="str">
        <v>0</v>
      </c>
      <c r="V126" t="s">
        <v>269</v>
      </c>
      <c r="W126" t="s">
        <v>26</v>
      </c>
      <c r="X126" t="s">
        <v>278</v>
      </c>
      <c r="Y126" t="s">
        <v>12</v>
      </c>
    </row>
    <row r="127" spans="16:25" x14ac:dyDescent="0.45">
      <c r="P127" s="8" t="s">
        <v>279</v>
      </c>
      <c r="Q127" t="str" cm="1">
        <f t="array" ref="Q127:T127">_xlfn.TEXTSPLIT(P127, " ")</f>
        <v>16</v>
      </c>
      <c r="R127" t="str">
        <v>Hot_Cloudy</v>
      </c>
      <c r="S127" t="str">
        <v>5.908</v>
      </c>
      <c r="T127" t="str">
        <v>0</v>
      </c>
      <c r="V127" t="s">
        <v>269</v>
      </c>
      <c r="W127" t="s">
        <v>29</v>
      </c>
      <c r="X127" t="s">
        <v>12</v>
      </c>
      <c r="Y127" t="s">
        <v>280</v>
      </c>
    </row>
    <row r="128" spans="16:25" x14ac:dyDescent="0.45">
      <c r="P128" s="8" t="s">
        <v>281</v>
      </c>
      <c r="Q128" t="str" cm="1">
        <f t="array" ref="Q128:T128">_xlfn.TEXTSPLIT(P128, " ")</f>
        <v>16</v>
      </c>
      <c r="R128" t="str">
        <v>Hot_Hazy</v>
      </c>
      <c r="S128" t="str">
        <v>3.226</v>
      </c>
      <c r="T128" t="str">
        <v>0</v>
      </c>
      <c r="V128" t="s">
        <v>269</v>
      </c>
      <c r="W128" t="s">
        <v>32</v>
      </c>
      <c r="X128" t="s">
        <v>282</v>
      </c>
      <c r="Y128" t="s">
        <v>12</v>
      </c>
    </row>
    <row r="129" spans="16:25" x14ac:dyDescent="0.45">
      <c r="P129" s="8" t="s">
        <v>283</v>
      </c>
      <c r="Q129" t="str" cm="1">
        <f t="array" ref="Q129:T129">_xlfn.TEXTSPLIT(P129, " ")</f>
        <v>16</v>
      </c>
      <c r="R129" t="str">
        <v>Mild_Balanced</v>
      </c>
      <c r="S129" t="str">
        <v>0</v>
      </c>
      <c r="T129" t="str">
        <v>2.408</v>
      </c>
      <c r="V129" t="s">
        <v>269</v>
      </c>
      <c r="W129" t="s">
        <v>35</v>
      </c>
      <c r="X129" t="s">
        <v>284</v>
      </c>
      <c r="Y129" t="s">
        <v>12</v>
      </c>
    </row>
    <row r="130" spans="16:25" x14ac:dyDescent="0.45">
      <c r="P130" s="8" t="s">
        <v>285</v>
      </c>
      <c r="Q130" t="str" cm="1">
        <f t="array" ref="Q130:T130">_xlfn.TEXTSPLIT(P130, " ")</f>
        <v>16</v>
      </c>
      <c r="R130" t="str">
        <v>Overcast_Windy</v>
      </c>
      <c r="S130" t="str">
        <v>4.562</v>
      </c>
      <c r="T130" t="str">
        <v>0</v>
      </c>
      <c r="V130" t="s">
        <v>286</v>
      </c>
      <c r="W130" t="s">
        <v>10</v>
      </c>
      <c r="X130" t="s">
        <v>287</v>
      </c>
      <c r="Y130" t="s">
        <v>12</v>
      </c>
    </row>
    <row r="131" spans="16:25" x14ac:dyDescent="0.45">
      <c r="P131" s="8" t="s">
        <v>288</v>
      </c>
      <c r="Q131" t="str" cm="1">
        <f t="array" ref="Q131:T131">_xlfn.TEXTSPLIT(P131, " ")</f>
        <v>16</v>
      </c>
      <c r="R131" t="str">
        <v>Storm_PM</v>
      </c>
      <c r="S131" t="str">
        <v>7.374</v>
      </c>
      <c r="T131" t="str">
        <v>0</v>
      </c>
      <c r="V131" t="s">
        <v>286</v>
      </c>
      <c r="W131" t="s">
        <v>15</v>
      </c>
      <c r="X131" t="s">
        <v>289</v>
      </c>
      <c r="Y131" t="s">
        <v>12</v>
      </c>
    </row>
    <row r="132" spans="16:25" x14ac:dyDescent="0.45">
      <c r="P132" s="8" t="s">
        <v>290</v>
      </c>
      <c r="Q132" t="str" cm="1">
        <f t="array" ref="Q132:T132">_xlfn.TEXTSPLIT(P132, " ")</f>
        <v>17</v>
      </c>
      <c r="R132" t="str">
        <v>Clear_Breezy</v>
      </c>
      <c r="S132" t="str">
        <v>0.688</v>
      </c>
      <c r="T132" t="str">
        <v>0</v>
      </c>
      <c r="V132" t="s">
        <v>286</v>
      </c>
      <c r="W132" t="s">
        <v>20</v>
      </c>
      <c r="X132" t="s">
        <v>291</v>
      </c>
      <c r="Y132" t="s">
        <v>12</v>
      </c>
    </row>
    <row r="133" spans="16:25" x14ac:dyDescent="0.45">
      <c r="P133" s="8" t="s">
        <v>292</v>
      </c>
      <c r="Q133" t="str" cm="1">
        <f t="array" ref="Q133:T133">_xlfn.TEXTSPLIT(P133, " ")</f>
        <v>17</v>
      </c>
      <c r="R133" t="str">
        <v>Cloudy_Calm</v>
      </c>
      <c r="S133" t="str">
        <v>8.26</v>
      </c>
      <c r="T133" t="str">
        <v>0</v>
      </c>
      <c r="V133" t="s">
        <v>286</v>
      </c>
      <c r="W133" t="s">
        <v>23</v>
      </c>
      <c r="X133" t="s">
        <v>293</v>
      </c>
      <c r="Y133" t="s">
        <v>12</v>
      </c>
    </row>
    <row r="134" spans="16:25" x14ac:dyDescent="0.45">
      <c r="P134" s="8" t="s">
        <v>294</v>
      </c>
      <c r="Q134" t="str" cm="1">
        <f t="array" ref="Q134:T134">_xlfn.TEXTSPLIT(P134, " ")</f>
        <v>17</v>
      </c>
      <c r="R134" t="str">
        <v>Hot_Clear</v>
      </c>
      <c r="S134" t="str">
        <v>4.25</v>
      </c>
      <c r="T134" t="str">
        <v>0</v>
      </c>
      <c r="V134" t="s">
        <v>286</v>
      </c>
      <c r="W134" t="s">
        <v>26</v>
      </c>
      <c r="X134" t="s">
        <v>121</v>
      </c>
      <c r="Y134" t="s">
        <v>12</v>
      </c>
    </row>
    <row r="135" spans="16:25" x14ac:dyDescent="0.45">
      <c r="P135" s="8" t="s">
        <v>295</v>
      </c>
      <c r="Q135" t="str" cm="1">
        <f t="array" ref="Q135:T135">_xlfn.TEXTSPLIT(P135, " ")</f>
        <v>17</v>
      </c>
      <c r="R135" t="str">
        <v>Hot_Cloudy</v>
      </c>
      <c r="S135" t="str">
        <v>8.55</v>
      </c>
      <c r="T135" t="str">
        <v>0</v>
      </c>
      <c r="V135" t="s">
        <v>286</v>
      </c>
      <c r="W135" t="s">
        <v>29</v>
      </c>
      <c r="X135" t="s">
        <v>296</v>
      </c>
      <c r="Y135" t="s">
        <v>12</v>
      </c>
    </row>
    <row r="136" spans="16:25" x14ac:dyDescent="0.45">
      <c r="P136" s="8" t="s">
        <v>297</v>
      </c>
      <c r="Q136" t="str" cm="1">
        <f t="array" ref="Q136:T136">_xlfn.TEXTSPLIT(P136, " ")</f>
        <v>17</v>
      </c>
      <c r="R136" t="str">
        <v>Hot_Hazy</v>
      </c>
      <c r="S136" t="str">
        <v>7</v>
      </c>
      <c r="T136" t="str">
        <v>0</v>
      </c>
      <c r="V136" t="s">
        <v>286</v>
      </c>
      <c r="W136" t="s">
        <v>32</v>
      </c>
      <c r="X136" t="s">
        <v>298</v>
      </c>
      <c r="Y136" t="s">
        <v>12</v>
      </c>
    </row>
    <row r="137" spans="16:25" x14ac:dyDescent="0.45">
      <c r="P137" s="8" t="s">
        <v>299</v>
      </c>
      <c r="Q137" t="str" cm="1">
        <f t="array" ref="Q137:T137">_xlfn.TEXTSPLIT(P137, " ")</f>
        <v>17</v>
      </c>
      <c r="R137" t="str">
        <v>Mild_Balanced</v>
      </c>
      <c r="S137" t="str">
        <v>0.83</v>
      </c>
      <c r="T137" t="str">
        <v>0</v>
      </c>
      <c r="V137" t="s">
        <v>286</v>
      </c>
      <c r="W137" t="s">
        <v>35</v>
      </c>
      <c r="X137" t="s">
        <v>300</v>
      </c>
      <c r="Y137" t="s">
        <v>12</v>
      </c>
    </row>
    <row r="138" spans="16:25" x14ac:dyDescent="0.45">
      <c r="P138" s="8" t="s">
        <v>301</v>
      </c>
      <c r="Q138" t="str" cm="1">
        <f t="array" ref="Q138:T138">_xlfn.TEXTSPLIT(P138, " ")</f>
        <v>17</v>
      </c>
      <c r="R138" t="str">
        <v>Overcast_Windy</v>
      </c>
      <c r="S138" t="str">
        <v>5.83</v>
      </c>
      <c r="T138" t="str">
        <v>0</v>
      </c>
      <c r="V138" t="s">
        <v>302</v>
      </c>
      <c r="W138" t="s">
        <v>10</v>
      </c>
      <c r="X138" t="s">
        <v>303</v>
      </c>
      <c r="Y138" t="s">
        <v>12</v>
      </c>
    </row>
    <row r="139" spans="16:25" x14ac:dyDescent="0.45">
      <c r="P139" s="8" t="s">
        <v>304</v>
      </c>
      <c r="Q139" t="str" cm="1">
        <f t="array" ref="Q139:T139">_xlfn.TEXTSPLIT(P139, " ")</f>
        <v>17</v>
      </c>
      <c r="R139" t="str">
        <v>Storm_PM</v>
      </c>
      <c r="S139" t="str">
        <v>6.77</v>
      </c>
      <c r="T139" t="str">
        <v>0</v>
      </c>
      <c r="V139" t="s">
        <v>302</v>
      </c>
      <c r="W139" t="s">
        <v>15</v>
      </c>
      <c r="X139" t="s">
        <v>305</v>
      </c>
      <c r="Y139" t="s">
        <v>12</v>
      </c>
    </row>
    <row r="140" spans="16:25" x14ac:dyDescent="0.45">
      <c r="P140" s="8" t="s">
        <v>306</v>
      </c>
      <c r="Q140" t="str" cm="1">
        <f t="array" ref="Q140:T140">_xlfn.TEXTSPLIT(P140, " ")</f>
        <v>18</v>
      </c>
      <c r="R140" t="str">
        <v>Clear_Breezy</v>
      </c>
      <c r="S140" t="str">
        <v>4.992</v>
      </c>
      <c r="T140" t="str">
        <v>0</v>
      </c>
      <c r="V140" t="s">
        <v>302</v>
      </c>
      <c r="W140" t="s">
        <v>20</v>
      </c>
      <c r="X140" t="s">
        <v>307</v>
      </c>
      <c r="Y140" t="s">
        <v>12</v>
      </c>
    </row>
    <row r="141" spans="16:25" x14ac:dyDescent="0.45">
      <c r="P141" s="8" t="s">
        <v>308</v>
      </c>
      <c r="Q141" t="str" cm="1">
        <f t="array" ref="Q141:T141">_xlfn.TEXTSPLIT(P141, " ")</f>
        <v>18</v>
      </c>
      <c r="R141" t="str">
        <v>Cloudy_Calm</v>
      </c>
      <c r="S141" t="str">
        <v>10.886</v>
      </c>
      <c r="T141" t="str">
        <v>0</v>
      </c>
      <c r="V141" t="s">
        <v>302</v>
      </c>
      <c r="W141" t="s">
        <v>23</v>
      </c>
      <c r="X141" t="s">
        <v>309</v>
      </c>
      <c r="Y141" t="s">
        <v>12</v>
      </c>
    </row>
    <row r="142" spans="16:25" x14ac:dyDescent="0.45">
      <c r="P142" s="8" t="s">
        <v>310</v>
      </c>
      <c r="Q142" t="str" cm="1">
        <f t="array" ref="Q142:T142">_xlfn.TEXTSPLIT(P142, " ")</f>
        <v>18</v>
      </c>
      <c r="R142" t="str">
        <v>Hot_Clear</v>
      </c>
      <c r="S142" t="str">
        <v>8.63</v>
      </c>
      <c r="T142" t="str">
        <v>0</v>
      </c>
      <c r="V142" t="s">
        <v>302</v>
      </c>
      <c r="W142" t="s">
        <v>26</v>
      </c>
      <c r="X142" t="s">
        <v>311</v>
      </c>
      <c r="Y142" t="s">
        <v>12</v>
      </c>
    </row>
    <row r="143" spans="16:25" x14ac:dyDescent="0.45">
      <c r="P143" s="8" t="s">
        <v>312</v>
      </c>
      <c r="Q143" t="str" cm="1">
        <f t="array" ref="Q143:T143">_xlfn.TEXTSPLIT(P143, " ")</f>
        <v>18</v>
      </c>
      <c r="R143" t="str">
        <v>Hot_Cloudy</v>
      </c>
      <c r="S143" t="str">
        <v>11.214</v>
      </c>
      <c r="T143" t="str">
        <v>0</v>
      </c>
      <c r="V143" t="s">
        <v>302</v>
      </c>
      <c r="W143" t="s">
        <v>29</v>
      </c>
      <c r="X143" t="s">
        <v>313</v>
      </c>
      <c r="Y143" t="s">
        <v>12</v>
      </c>
    </row>
    <row r="144" spans="16:25" x14ac:dyDescent="0.45">
      <c r="P144" s="8" t="s">
        <v>314</v>
      </c>
      <c r="Q144" t="str" cm="1">
        <f t="array" ref="Q144:T144">_xlfn.TEXTSPLIT(P144, " ")</f>
        <v>18</v>
      </c>
      <c r="R144" t="str">
        <v>Hot_Hazy</v>
      </c>
      <c r="S144" t="str">
        <v>11.1</v>
      </c>
      <c r="T144" t="str">
        <v>0</v>
      </c>
      <c r="V144" t="s">
        <v>302</v>
      </c>
      <c r="W144" t="s">
        <v>32</v>
      </c>
      <c r="X144" t="s">
        <v>315</v>
      </c>
      <c r="Y144" t="s">
        <v>12</v>
      </c>
    </row>
    <row r="145" spans="16:25" x14ac:dyDescent="0.45">
      <c r="P145" s="8" t="s">
        <v>316</v>
      </c>
      <c r="Q145" t="str" cm="1">
        <f t="array" ref="Q145:T145">_xlfn.TEXTSPLIT(P145, " ")</f>
        <v>18</v>
      </c>
      <c r="R145" t="str">
        <v>Mild_Balanced</v>
      </c>
      <c r="S145" t="str">
        <v>4.852</v>
      </c>
      <c r="T145" t="str">
        <v>0</v>
      </c>
      <c r="V145" t="s">
        <v>302</v>
      </c>
      <c r="W145" t="s">
        <v>35</v>
      </c>
      <c r="X145" t="s">
        <v>317</v>
      </c>
      <c r="Y145" t="s">
        <v>12</v>
      </c>
    </row>
    <row r="146" spans="16:25" x14ac:dyDescent="0.45">
      <c r="P146" s="8" t="s">
        <v>318</v>
      </c>
      <c r="Q146" t="str" cm="1">
        <f t="array" ref="Q146:T146">_xlfn.TEXTSPLIT(P146, " ")</f>
        <v>18</v>
      </c>
      <c r="R146" t="str">
        <v>Overcast_Windy</v>
      </c>
      <c r="S146" t="str">
        <v>7.184</v>
      </c>
      <c r="T146" t="str">
        <v>0</v>
      </c>
      <c r="V146" t="s">
        <v>319</v>
      </c>
      <c r="W146" t="s">
        <v>10</v>
      </c>
      <c r="X146" t="s">
        <v>320</v>
      </c>
      <c r="Y146" t="s">
        <v>12</v>
      </c>
    </row>
    <row r="147" spans="16:25" x14ac:dyDescent="0.45">
      <c r="P147" s="8" t="s">
        <v>321</v>
      </c>
      <c r="Q147" t="str" cm="1">
        <f t="array" ref="Q147:T147">_xlfn.TEXTSPLIT(P147, " ")</f>
        <v>18</v>
      </c>
      <c r="R147" t="str">
        <v>Storm_PM</v>
      </c>
      <c r="S147" t="str">
        <v>6.89</v>
      </c>
      <c r="T147" t="str">
        <v>0</v>
      </c>
      <c r="V147" t="s">
        <v>319</v>
      </c>
      <c r="W147" t="s">
        <v>15</v>
      </c>
      <c r="X147" t="s">
        <v>322</v>
      </c>
      <c r="Y147" t="s">
        <v>12</v>
      </c>
    </row>
    <row r="148" spans="16:25" x14ac:dyDescent="0.45">
      <c r="P148" s="8" t="s">
        <v>323</v>
      </c>
      <c r="Q148" t="str" cm="1">
        <f t="array" ref="Q148:T148">_xlfn.TEXTSPLIT(P148, " ")</f>
        <v>19</v>
      </c>
      <c r="R148" t="str">
        <v>Clear_Breezy</v>
      </c>
      <c r="S148" t="str">
        <v>7.948</v>
      </c>
      <c r="T148" t="str">
        <v>0</v>
      </c>
      <c r="V148" t="s">
        <v>319</v>
      </c>
      <c r="W148" t="s">
        <v>20</v>
      </c>
      <c r="X148" t="s">
        <v>324</v>
      </c>
      <c r="Y148" t="s">
        <v>12</v>
      </c>
    </row>
    <row r="149" spans="16:25" x14ac:dyDescent="0.45">
      <c r="P149" s="8" t="s">
        <v>325</v>
      </c>
      <c r="Q149" t="str" cm="1">
        <f t="array" ref="Q149:T149">_xlfn.TEXTSPLIT(P149, " ")</f>
        <v>19</v>
      </c>
      <c r="R149" t="str">
        <v>Cloudy_Calm</v>
      </c>
      <c r="S149" t="str">
        <v>12.348</v>
      </c>
      <c r="T149" t="str">
        <v>0</v>
      </c>
      <c r="V149" t="s">
        <v>319</v>
      </c>
      <c r="W149" t="s">
        <v>23</v>
      </c>
      <c r="X149" t="s">
        <v>326</v>
      </c>
      <c r="Y149" t="s">
        <v>12</v>
      </c>
    </row>
    <row r="150" spans="16:25" x14ac:dyDescent="0.45">
      <c r="P150" s="8" t="s">
        <v>327</v>
      </c>
      <c r="Q150" t="str" cm="1">
        <f t="array" ref="Q150:T150">_xlfn.TEXTSPLIT(P150, " ")</f>
        <v>19</v>
      </c>
      <c r="R150" t="str">
        <v>Hot_Clear</v>
      </c>
      <c r="S150" t="str">
        <v>11.49</v>
      </c>
      <c r="T150" t="str">
        <v>0</v>
      </c>
      <c r="V150" t="s">
        <v>319</v>
      </c>
      <c r="W150" t="s">
        <v>26</v>
      </c>
      <c r="X150" t="s">
        <v>328</v>
      </c>
      <c r="Y150" t="s">
        <v>12</v>
      </c>
    </row>
    <row r="151" spans="16:25" x14ac:dyDescent="0.45">
      <c r="P151" s="8" t="s">
        <v>329</v>
      </c>
      <c r="Q151" t="str" cm="1">
        <f t="array" ref="Q151:T151">_xlfn.TEXTSPLIT(P151, " ")</f>
        <v>19</v>
      </c>
      <c r="R151" t="str">
        <v>Hot_Cloudy</v>
      </c>
      <c r="S151" t="str">
        <v>12.374</v>
      </c>
      <c r="T151" t="str">
        <v>0</v>
      </c>
      <c r="V151" t="s">
        <v>319</v>
      </c>
      <c r="W151" t="s">
        <v>29</v>
      </c>
      <c r="X151" t="s">
        <v>330</v>
      </c>
      <c r="Y151" t="s">
        <v>12</v>
      </c>
    </row>
    <row r="152" spans="16:25" x14ac:dyDescent="0.45">
      <c r="P152" s="8" t="s">
        <v>331</v>
      </c>
      <c r="Q152" t="str" cm="1">
        <f t="array" ref="Q152:T152">_xlfn.TEXTSPLIT(P152, " ")</f>
        <v>19</v>
      </c>
      <c r="R152" t="str">
        <v>Hot_Hazy</v>
      </c>
      <c r="S152" t="str">
        <v>13.582</v>
      </c>
      <c r="T152" t="str">
        <v>0</v>
      </c>
      <c r="V152" t="s">
        <v>319</v>
      </c>
      <c r="W152" t="s">
        <v>32</v>
      </c>
      <c r="X152" t="s">
        <v>332</v>
      </c>
      <c r="Y152" t="s">
        <v>12</v>
      </c>
    </row>
    <row r="153" spans="16:25" x14ac:dyDescent="0.45">
      <c r="P153" s="8" t="s">
        <v>333</v>
      </c>
      <c r="Q153" t="str" cm="1">
        <f t="array" ref="Q153:T153">_xlfn.TEXTSPLIT(P153, " ")</f>
        <v>19</v>
      </c>
      <c r="R153" t="str">
        <v>Mild_Balanced</v>
      </c>
      <c r="S153" t="str">
        <v>7.844</v>
      </c>
      <c r="T153" t="str">
        <v>0</v>
      </c>
      <c r="V153" t="s">
        <v>319</v>
      </c>
      <c r="W153" t="s">
        <v>35</v>
      </c>
      <c r="X153" t="s">
        <v>334</v>
      </c>
      <c r="Y153" t="s">
        <v>12</v>
      </c>
    </row>
    <row r="154" spans="16:25" x14ac:dyDescent="0.45">
      <c r="P154" s="8" t="s">
        <v>335</v>
      </c>
      <c r="Q154" t="str" cm="1">
        <f t="array" ref="Q154:T154">_xlfn.TEXTSPLIT(P154, " ")</f>
        <v>19</v>
      </c>
      <c r="R154" t="str">
        <v>Overcast_Windy</v>
      </c>
      <c r="S154" t="str">
        <v>7.496</v>
      </c>
      <c r="T154" t="str">
        <v>0</v>
      </c>
      <c r="V154" t="s">
        <v>336</v>
      </c>
      <c r="W154" t="s">
        <v>10</v>
      </c>
      <c r="X154" t="s">
        <v>337</v>
      </c>
      <c r="Y154" t="s">
        <v>12</v>
      </c>
    </row>
    <row r="155" spans="16:25" x14ac:dyDescent="0.45">
      <c r="P155" s="8" t="s">
        <v>338</v>
      </c>
      <c r="Q155" t="str" cm="1">
        <f t="array" ref="Q155:T155">_xlfn.TEXTSPLIT(P155, " ")</f>
        <v>19</v>
      </c>
      <c r="R155" t="str">
        <v>Storm_PM</v>
      </c>
      <c r="S155" t="str">
        <v>7.718</v>
      </c>
      <c r="T155" t="str">
        <v>0</v>
      </c>
      <c r="V155" t="s">
        <v>336</v>
      </c>
      <c r="W155" t="s">
        <v>15</v>
      </c>
      <c r="X155" t="s">
        <v>339</v>
      </c>
      <c r="Y155" t="s">
        <v>12</v>
      </c>
    </row>
    <row r="156" spans="16:25" x14ac:dyDescent="0.45">
      <c r="P156" s="8" t="s">
        <v>340</v>
      </c>
      <c r="Q156" t="str" cm="1">
        <f t="array" ref="Q156:T156">_xlfn.TEXTSPLIT(P156, " ")</f>
        <v>20</v>
      </c>
      <c r="R156" t="str">
        <v>Clear_Breezy</v>
      </c>
      <c r="S156" t="str">
        <v>9.084</v>
      </c>
      <c r="T156" t="str">
        <v>0</v>
      </c>
      <c r="V156" t="s">
        <v>336</v>
      </c>
      <c r="W156" t="s">
        <v>20</v>
      </c>
      <c r="X156" t="s">
        <v>341</v>
      </c>
      <c r="Y156" t="s">
        <v>12</v>
      </c>
    </row>
    <row r="157" spans="16:25" x14ac:dyDescent="0.45">
      <c r="P157" s="8" t="s">
        <v>342</v>
      </c>
      <c r="Q157" t="str" cm="1">
        <f t="array" ref="Q157:T157">_xlfn.TEXTSPLIT(P157, " ")</f>
        <v>20</v>
      </c>
      <c r="R157" t="str">
        <v>Cloudy_Calm</v>
      </c>
      <c r="S157" t="str">
        <v>12.596</v>
      </c>
      <c r="T157" t="str">
        <v>0</v>
      </c>
      <c r="V157" t="s">
        <v>336</v>
      </c>
      <c r="W157" t="s">
        <v>23</v>
      </c>
      <c r="X157" t="s">
        <v>343</v>
      </c>
      <c r="Y157" t="s">
        <v>12</v>
      </c>
    </row>
    <row r="158" spans="16:25" x14ac:dyDescent="0.45">
      <c r="P158" s="8" t="s">
        <v>344</v>
      </c>
      <c r="Q158" t="str" cm="1">
        <f t="array" ref="Q158:T158">_xlfn.TEXTSPLIT(P158, " ")</f>
        <v>20</v>
      </c>
      <c r="R158" t="str">
        <v>Hot_Clear</v>
      </c>
      <c r="S158" t="str">
        <v>12.38</v>
      </c>
      <c r="T158" t="str">
        <v>0</v>
      </c>
      <c r="V158" t="s">
        <v>336</v>
      </c>
      <c r="W158" t="s">
        <v>26</v>
      </c>
      <c r="X158" t="s">
        <v>345</v>
      </c>
      <c r="Y158" t="s">
        <v>12</v>
      </c>
    </row>
    <row r="159" spans="16:25" x14ac:dyDescent="0.45">
      <c r="P159" s="8" t="s">
        <v>346</v>
      </c>
      <c r="Q159" t="str" cm="1">
        <f t="array" ref="Q159:T159">_xlfn.TEXTSPLIT(P159, " ")</f>
        <v>20</v>
      </c>
      <c r="R159" t="str">
        <v>Hot_Cloudy</v>
      </c>
      <c r="S159" t="str">
        <v>12.008</v>
      </c>
      <c r="T159" t="str">
        <v>0</v>
      </c>
      <c r="V159" t="s">
        <v>336</v>
      </c>
      <c r="W159" t="s">
        <v>29</v>
      </c>
      <c r="X159" t="s">
        <v>347</v>
      </c>
      <c r="Y159" t="s">
        <v>12</v>
      </c>
    </row>
    <row r="160" spans="16:25" x14ac:dyDescent="0.45">
      <c r="P160" s="8" t="s">
        <v>348</v>
      </c>
      <c r="Q160" t="str" cm="1">
        <f t="array" ref="Q160:T160">_xlfn.TEXTSPLIT(P160, " ")</f>
        <v>20</v>
      </c>
      <c r="R160" t="str">
        <v>Hot_Hazy</v>
      </c>
      <c r="S160" t="str">
        <v>14.096</v>
      </c>
      <c r="T160" t="str">
        <v>0</v>
      </c>
      <c r="V160" t="s">
        <v>336</v>
      </c>
      <c r="W160" t="s">
        <v>32</v>
      </c>
      <c r="X160" t="s">
        <v>349</v>
      </c>
      <c r="Y160" t="s">
        <v>12</v>
      </c>
    </row>
    <row r="161" spans="16:25" x14ac:dyDescent="0.45">
      <c r="P161" s="8" t="s">
        <v>350</v>
      </c>
      <c r="Q161" t="str" cm="1">
        <f t="array" ref="Q161:T161">_xlfn.TEXTSPLIT(P161, " ")</f>
        <v>20</v>
      </c>
      <c r="R161" t="str">
        <v>Mild_Balanced</v>
      </c>
      <c r="S161" t="str">
        <v>9.176</v>
      </c>
      <c r="T161" t="str">
        <v>0</v>
      </c>
      <c r="V161" t="s">
        <v>336</v>
      </c>
      <c r="W161" t="s">
        <v>35</v>
      </c>
      <c r="X161" t="s">
        <v>351</v>
      </c>
      <c r="Y161" t="s">
        <v>12</v>
      </c>
    </row>
    <row r="162" spans="16:25" x14ac:dyDescent="0.45">
      <c r="P162" s="8" t="s">
        <v>352</v>
      </c>
      <c r="Q162" t="str" cm="1">
        <f t="array" ref="Q162:T162">_xlfn.TEXTSPLIT(P162, " ")</f>
        <v>20</v>
      </c>
      <c r="R162" t="str">
        <v>Overcast_Windy</v>
      </c>
      <c r="S162" t="str">
        <v>6.94</v>
      </c>
      <c r="T162" t="str">
        <v>0</v>
      </c>
      <c r="V162" t="s">
        <v>353</v>
      </c>
      <c r="W162" t="s">
        <v>10</v>
      </c>
      <c r="X162" t="s">
        <v>354</v>
      </c>
      <c r="Y162" t="s">
        <v>12</v>
      </c>
    </row>
    <row r="163" spans="16:25" x14ac:dyDescent="0.45">
      <c r="P163" s="8" t="s">
        <v>355</v>
      </c>
      <c r="Q163" t="str" cm="1">
        <f t="array" ref="Q163:T163">_xlfn.TEXTSPLIT(P163, " ")</f>
        <v>20</v>
      </c>
      <c r="R163" t="str">
        <v>Storm_PM</v>
      </c>
      <c r="S163" t="str">
        <v>8.974</v>
      </c>
      <c r="T163" t="str">
        <v>0</v>
      </c>
      <c r="V163" t="s">
        <v>353</v>
      </c>
      <c r="W163" t="s">
        <v>15</v>
      </c>
      <c r="X163" t="s">
        <v>356</v>
      </c>
      <c r="Y163" t="s">
        <v>12</v>
      </c>
    </row>
    <row r="164" spans="16:25" x14ac:dyDescent="0.45">
      <c r="P164" s="8" t="s">
        <v>357</v>
      </c>
      <c r="Q164" t="str" cm="1">
        <f t="array" ref="Q164:T164">_xlfn.TEXTSPLIT(P164, " ")</f>
        <v>21</v>
      </c>
      <c r="R164" t="str">
        <v>Clear_Breezy</v>
      </c>
      <c r="S164" t="str">
        <v>7.298</v>
      </c>
      <c r="T164" t="str">
        <v>0</v>
      </c>
      <c r="V164" t="s">
        <v>353</v>
      </c>
      <c r="W164" t="s">
        <v>20</v>
      </c>
      <c r="X164" t="s">
        <v>358</v>
      </c>
      <c r="Y164" t="s">
        <v>12</v>
      </c>
    </row>
    <row r="165" spans="16:25" x14ac:dyDescent="0.45">
      <c r="P165" s="8" t="s">
        <v>359</v>
      </c>
      <c r="Q165" t="str" cm="1">
        <f t="array" ref="Q165:T165">_xlfn.TEXTSPLIT(P165, " ")</f>
        <v>21</v>
      </c>
      <c r="R165" t="str">
        <v>Cloudy_Calm</v>
      </c>
      <c r="S165" t="str">
        <v>11.256</v>
      </c>
      <c r="T165" t="str">
        <v>0</v>
      </c>
      <c r="V165" t="s">
        <v>353</v>
      </c>
      <c r="W165" t="s">
        <v>23</v>
      </c>
      <c r="X165" t="s">
        <v>360</v>
      </c>
      <c r="Y165" t="s">
        <v>12</v>
      </c>
    </row>
    <row r="166" spans="16:25" x14ac:dyDescent="0.45">
      <c r="P166" s="8" t="s">
        <v>361</v>
      </c>
      <c r="Q166" t="str" cm="1">
        <f t="array" ref="Q166:T166">_xlfn.TEXTSPLIT(P166, " ")</f>
        <v>21</v>
      </c>
      <c r="R166" t="str">
        <v>Hot_Clear</v>
      </c>
      <c r="S166" t="str">
        <v>10.31</v>
      </c>
      <c r="T166" t="str">
        <v>0</v>
      </c>
      <c r="V166" t="s">
        <v>353</v>
      </c>
      <c r="W166" t="s">
        <v>26</v>
      </c>
      <c r="X166" t="s">
        <v>362</v>
      </c>
      <c r="Y166" t="s">
        <v>12</v>
      </c>
    </row>
    <row r="167" spans="16:25" x14ac:dyDescent="0.45">
      <c r="P167" s="8" t="s">
        <v>363</v>
      </c>
      <c r="Q167" t="str" cm="1">
        <f t="array" ref="Q167:T167">_xlfn.TEXTSPLIT(P167, " ")</f>
        <v>21</v>
      </c>
      <c r="R167" t="str">
        <v>Hot_Cloudy</v>
      </c>
      <c r="S167" t="str">
        <v>9.998</v>
      </c>
      <c r="T167" t="str">
        <v>0</v>
      </c>
      <c r="V167" t="s">
        <v>353</v>
      </c>
      <c r="W167" t="s">
        <v>29</v>
      </c>
      <c r="X167" t="s">
        <v>364</v>
      </c>
      <c r="Y167" t="s">
        <v>12</v>
      </c>
    </row>
    <row r="168" spans="16:25" x14ac:dyDescent="0.45">
      <c r="P168" s="8" t="s">
        <v>365</v>
      </c>
      <c r="Q168" t="str" cm="1">
        <f t="array" ref="Q168:T168">_xlfn.TEXTSPLIT(P168, " ")</f>
        <v>21</v>
      </c>
      <c r="R168" t="str">
        <v>Hot_Hazy</v>
      </c>
      <c r="S168" t="str">
        <v>12.108</v>
      </c>
      <c r="T168" t="str">
        <v>0</v>
      </c>
      <c r="V168" t="s">
        <v>353</v>
      </c>
      <c r="W168" t="s">
        <v>32</v>
      </c>
      <c r="X168" t="s">
        <v>366</v>
      </c>
      <c r="Y168" t="s">
        <v>12</v>
      </c>
    </row>
    <row r="169" spans="16:25" x14ac:dyDescent="0.45">
      <c r="P169" s="8" t="s">
        <v>367</v>
      </c>
      <c r="Q169" t="str" cm="1">
        <f t="array" ref="Q169:T169">_xlfn.TEXTSPLIT(P169, " ")</f>
        <v>21</v>
      </c>
      <c r="R169" t="str">
        <v>Mild_Balanced</v>
      </c>
      <c r="S169" t="str">
        <v>7.838</v>
      </c>
      <c r="T169" t="str">
        <v>0</v>
      </c>
      <c r="V169" t="s">
        <v>353</v>
      </c>
      <c r="W169" t="s">
        <v>35</v>
      </c>
      <c r="X169" t="s">
        <v>368</v>
      </c>
      <c r="Y169" t="s">
        <v>12</v>
      </c>
    </row>
    <row r="170" spans="16:25" x14ac:dyDescent="0.45">
      <c r="P170" s="8" t="s">
        <v>369</v>
      </c>
      <c r="Q170" t="str" cm="1">
        <f t="array" ref="Q170:T170">_xlfn.TEXTSPLIT(P170, " ")</f>
        <v>21</v>
      </c>
      <c r="R170" t="str">
        <v>Overcast_Windy</v>
      </c>
      <c r="S170" t="str">
        <v>5.28</v>
      </c>
      <c r="T170" t="str">
        <v>0</v>
      </c>
      <c r="V170" t="s">
        <v>370</v>
      </c>
      <c r="W170" t="s">
        <v>10</v>
      </c>
      <c r="X170" t="s">
        <v>371</v>
      </c>
      <c r="Y170" t="s">
        <v>12</v>
      </c>
    </row>
    <row r="171" spans="16:25" x14ac:dyDescent="0.45">
      <c r="P171" s="8" t="s">
        <v>372</v>
      </c>
      <c r="Q171" t="str" cm="1">
        <f t="array" ref="Q171:T171">_xlfn.TEXTSPLIT(P171, " ")</f>
        <v>21</v>
      </c>
      <c r="R171" t="str">
        <v>Storm_PM</v>
      </c>
      <c r="S171" t="str">
        <v>8.064</v>
      </c>
      <c r="T171" t="str">
        <v>0</v>
      </c>
      <c r="V171" t="s">
        <v>370</v>
      </c>
      <c r="W171" t="s">
        <v>15</v>
      </c>
      <c r="X171" t="s">
        <v>373</v>
      </c>
      <c r="Y171" t="s">
        <v>12</v>
      </c>
    </row>
    <row r="172" spans="16:25" x14ac:dyDescent="0.45">
      <c r="P172" s="8" t="s">
        <v>374</v>
      </c>
      <c r="Q172" t="str" cm="1">
        <f t="array" ref="Q172:T172">_xlfn.TEXTSPLIT(P172, " ")</f>
        <v>22</v>
      </c>
      <c r="R172" t="str">
        <v>Clear_Breezy</v>
      </c>
      <c r="S172" t="str">
        <v>5.296</v>
      </c>
      <c r="T172" t="str">
        <v>0</v>
      </c>
      <c r="V172" t="s">
        <v>370</v>
      </c>
      <c r="W172" t="s">
        <v>20</v>
      </c>
      <c r="X172" t="s">
        <v>375</v>
      </c>
      <c r="Y172" t="s">
        <v>12</v>
      </c>
    </row>
    <row r="173" spans="16:25" x14ac:dyDescent="0.45">
      <c r="P173" s="8" t="s">
        <v>376</v>
      </c>
      <c r="Q173" t="str" cm="1">
        <f t="array" ref="Q173:T173">_xlfn.TEXTSPLIT(P173, " ")</f>
        <v>22</v>
      </c>
      <c r="R173" t="str">
        <v>Cloudy_Calm</v>
      </c>
      <c r="S173" t="str">
        <v>9.504</v>
      </c>
      <c r="T173" t="str">
        <v>0</v>
      </c>
      <c r="V173" t="s">
        <v>370</v>
      </c>
      <c r="W173" t="s">
        <v>23</v>
      </c>
      <c r="X173" t="s">
        <v>377</v>
      </c>
      <c r="Y173" t="s">
        <v>12</v>
      </c>
    </row>
    <row r="174" spans="16:25" x14ac:dyDescent="0.45">
      <c r="P174" s="8" t="s">
        <v>378</v>
      </c>
      <c r="Q174" t="str" cm="1">
        <f t="array" ref="Q174:T174">_xlfn.TEXTSPLIT(P174, " ")</f>
        <v>22</v>
      </c>
      <c r="R174" t="str">
        <v>Hot_Clear</v>
      </c>
      <c r="S174" t="str">
        <v>8.11</v>
      </c>
      <c r="T174" t="str">
        <v>0</v>
      </c>
      <c r="V174" t="s">
        <v>370</v>
      </c>
      <c r="W174" t="s">
        <v>26</v>
      </c>
      <c r="X174" t="s">
        <v>379</v>
      </c>
      <c r="Y174" t="s">
        <v>12</v>
      </c>
    </row>
    <row r="175" spans="16:25" x14ac:dyDescent="0.45">
      <c r="P175" s="8" t="s">
        <v>380</v>
      </c>
      <c r="Q175" t="str" cm="1">
        <f t="array" ref="Q175:T175">_xlfn.TEXTSPLIT(P175, " ")</f>
        <v>22</v>
      </c>
      <c r="R175" t="str">
        <v>Hot_Cloudy</v>
      </c>
      <c r="S175" t="str">
        <v>7.886</v>
      </c>
      <c r="T175" t="str">
        <v>0</v>
      </c>
      <c r="V175" t="s">
        <v>370</v>
      </c>
      <c r="W175" t="s">
        <v>29</v>
      </c>
      <c r="X175" t="s">
        <v>381</v>
      </c>
      <c r="Y175" t="s">
        <v>12</v>
      </c>
    </row>
    <row r="176" spans="16:25" x14ac:dyDescent="0.45">
      <c r="P176" s="8" t="s">
        <v>382</v>
      </c>
      <c r="Q176" t="str" cm="1">
        <f t="array" ref="Q176:T176">_xlfn.TEXTSPLIT(P176, " ")</f>
        <v>22</v>
      </c>
      <c r="R176" t="str">
        <v>Hot_Hazy</v>
      </c>
      <c r="S176" t="str">
        <v>10.102</v>
      </c>
      <c r="T176" t="str">
        <v>0</v>
      </c>
      <c r="V176" t="s">
        <v>370</v>
      </c>
      <c r="W176" t="s">
        <v>32</v>
      </c>
      <c r="X176" t="s">
        <v>383</v>
      </c>
      <c r="Y176" t="s">
        <v>12</v>
      </c>
    </row>
    <row r="177" spans="16:25" x14ac:dyDescent="0.45">
      <c r="P177" s="8" t="s">
        <v>384</v>
      </c>
      <c r="Q177" t="str" cm="1">
        <f t="array" ref="Q177:T177">_xlfn.TEXTSPLIT(P177, " ")</f>
        <v>22</v>
      </c>
      <c r="R177" t="str">
        <v>Mild_Balanced</v>
      </c>
      <c r="S177" t="str">
        <v>6.194</v>
      </c>
      <c r="T177" t="str">
        <v>0</v>
      </c>
      <c r="V177" t="s">
        <v>370</v>
      </c>
      <c r="W177" t="s">
        <v>35</v>
      </c>
      <c r="X177" t="s">
        <v>385</v>
      </c>
      <c r="Y177" t="s">
        <v>12</v>
      </c>
    </row>
    <row r="178" spans="16:25" x14ac:dyDescent="0.45">
      <c r="P178" s="8" t="s">
        <v>386</v>
      </c>
      <c r="Q178" t="str" cm="1">
        <f t="array" ref="Q178:T178">_xlfn.TEXTSPLIT(P178, " ")</f>
        <v>22</v>
      </c>
      <c r="R178" t="str">
        <v>Overcast_Windy</v>
      </c>
      <c r="S178" t="str">
        <v>3.348</v>
      </c>
      <c r="T178" t="str">
        <v>0</v>
      </c>
      <c r="V178" t="s">
        <v>387</v>
      </c>
      <c r="W178" t="s">
        <v>10</v>
      </c>
      <c r="X178" t="s">
        <v>388</v>
      </c>
      <c r="Y178" t="s">
        <v>12</v>
      </c>
    </row>
    <row r="179" spans="16:25" x14ac:dyDescent="0.45">
      <c r="P179" s="8" t="s">
        <v>389</v>
      </c>
      <c r="Q179" t="str" cm="1">
        <f t="array" ref="Q179:T179">_xlfn.TEXTSPLIT(P179, " ")</f>
        <v>22</v>
      </c>
      <c r="R179" t="str">
        <v>Storm_PM</v>
      </c>
      <c r="S179" t="str">
        <v>6.81</v>
      </c>
      <c r="T179" t="str">
        <v>0</v>
      </c>
      <c r="V179" t="s">
        <v>387</v>
      </c>
      <c r="W179" t="s">
        <v>15</v>
      </c>
      <c r="X179" t="s">
        <v>390</v>
      </c>
      <c r="Y179" t="s">
        <v>12</v>
      </c>
    </row>
    <row r="180" spans="16:25" x14ac:dyDescent="0.45">
      <c r="P180" s="8" t="s">
        <v>391</v>
      </c>
      <c r="Q180" t="str" cm="1">
        <f t="array" ref="Q180:T180">_xlfn.TEXTSPLIT(P180, " ")</f>
        <v>23</v>
      </c>
      <c r="R180" t="str">
        <v>Clear_Breezy</v>
      </c>
      <c r="S180" t="str">
        <v>3.514</v>
      </c>
      <c r="T180" t="str">
        <v>0</v>
      </c>
      <c r="V180" t="s">
        <v>387</v>
      </c>
      <c r="W180" t="s">
        <v>20</v>
      </c>
      <c r="X180" t="s">
        <v>392</v>
      </c>
      <c r="Y180" t="s">
        <v>12</v>
      </c>
    </row>
    <row r="181" spans="16:25" x14ac:dyDescent="0.45">
      <c r="P181" s="8" t="s">
        <v>393</v>
      </c>
      <c r="Q181" t="str" cm="1">
        <f t="array" ref="Q181:T181">_xlfn.TEXTSPLIT(P181, " ")</f>
        <v>23</v>
      </c>
      <c r="R181" t="str">
        <v>Cloudy_Calm</v>
      </c>
      <c r="S181" t="str">
        <v>7.72</v>
      </c>
      <c r="T181" t="str">
        <v>0</v>
      </c>
      <c r="V181" t="s">
        <v>387</v>
      </c>
      <c r="W181" t="s">
        <v>23</v>
      </c>
      <c r="X181" t="s">
        <v>394</v>
      </c>
      <c r="Y181" t="s">
        <v>12</v>
      </c>
    </row>
    <row r="182" spans="16:25" x14ac:dyDescent="0.45">
      <c r="P182" s="8" t="s">
        <v>395</v>
      </c>
      <c r="Q182" t="str" cm="1">
        <f t="array" ref="Q182:T182">_xlfn.TEXTSPLIT(P182, " ")</f>
        <v>23</v>
      </c>
      <c r="R182" t="str">
        <v>Hot_Clear</v>
      </c>
      <c r="S182" t="str">
        <v>6.01</v>
      </c>
      <c r="T182" t="str">
        <v>0</v>
      </c>
      <c r="V182" t="s">
        <v>387</v>
      </c>
      <c r="W182" t="s">
        <v>26</v>
      </c>
      <c r="X182" t="s">
        <v>396</v>
      </c>
      <c r="Y182" t="s">
        <v>12</v>
      </c>
    </row>
    <row r="183" spans="16:25" x14ac:dyDescent="0.45">
      <c r="P183" s="8" t="s">
        <v>397</v>
      </c>
      <c r="Q183" t="str" cm="1">
        <f t="array" ref="Q183:T183">_xlfn.TEXTSPLIT(P183, " ")</f>
        <v>23</v>
      </c>
      <c r="R183" t="str">
        <v>Hot_Cloudy</v>
      </c>
      <c r="S183" t="str">
        <v>5.808</v>
      </c>
      <c r="T183" t="str">
        <v>0</v>
      </c>
      <c r="V183" t="s">
        <v>387</v>
      </c>
      <c r="W183" t="s">
        <v>29</v>
      </c>
      <c r="X183" t="s">
        <v>398</v>
      </c>
      <c r="Y183" t="s">
        <v>12</v>
      </c>
    </row>
    <row r="184" spans="16:25" x14ac:dyDescent="0.45">
      <c r="P184" s="8" t="s">
        <v>399</v>
      </c>
      <c r="Q184" t="str" cm="1">
        <f t="array" ref="Q184:T184">_xlfn.TEXTSPLIT(P184, " ")</f>
        <v>23</v>
      </c>
      <c r="R184" t="str">
        <v>Hot_Hazy</v>
      </c>
      <c r="S184" t="str">
        <v>8.004</v>
      </c>
      <c r="T184" t="str">
        <v>0</v>
      </c>
      <c r="V184" t="s">
        <v>387</v>
      </c>
      <c r="W184" t="s">
        <v>32</v>
      </c>
      <c r="X184" t="s">
        <v>400</v>
      </c>
      <c r="Y184" t="s">
        <v>12</v>
      </c>
    </row>
    <row r="185" spans="16:25" x14ac:dyDescent="0.45">
      <c r="P185" s="8" t="s">
        <v>401</v>
      </c>
      <c r="Q185" t="str" cm="1">
        <f t="array" ref="Q185:T185">_xlfn.TEXTSPLIT(P185, " ")</f>
        <v>23</v>
      </c>
      <c r="R185" t="str">
        <v>Mild_Balanced</v>
      </c>
      <c r="S185" t="str">
        <v>4.52</v>
      </c>
      <c r="T185" t="str">
        <v>0</v>
      </c>
      <c r="V185" t="s">
        <v>387</v>
      </c>
      <c r="W185" t="s">
        <v>35</v>
      </c>
      <c r="X185" t="s">
        <v>402</v>
      </c>
      <c r="Y185" t="s">
        <v>12</v>
      </c>
    </row>
    <row r="186" spans="16:25" x14ac:dyDescent="0.45">
      <c r="P186" s="8" t="s">
        <v>403</v>
      </c>
      <c r="Q186" t="str" cm="1">
        <f t="array" ref="Q186:T186">_xlfn.TEXTSPLIT(P186, " ")</f>
        <v>23</v>
      </c>
      <c r="R186" t="str">
        <v>Overcast_Windy</v>
      </c>
      <c r="S186" t="str">
        <v>1.572</v>
      </c>
      <c r="T186" t="str">
        <v>0</v>
      </c>
      <c r="V186" t="s">
        <v>404</v>
      </c>
      <c r="W186" t="s">
        <v>10</v>
      </c>
      <c r="X186" t="s">
        <v>405</v>
      </c>
      <c r="Y186" t="s">
        <v>12</v>
      </c>
    </row>
    <row r="187" spans="16:25" x14ac:dyDescent="0.45">
      <c r="P187" s="8" t="s">
        <v>406</v>
      </c>
      <c r="Q187" t="str" cm="1">
        <f t="array" ref="Q187:T187">_xlfn.TEXTSPLIT(P187, " ")</f>
        <v>23</v>
      </c>
      <c r="R187" t="str">
        <v>Storm_PM</v>
      </c>
      <c r="S187" t="str">
        <v>5.54</v>
      </c>
      <c r="T187" t="str">
        <v>0</v>
      </c>
      <c r="V187" t="s">
        <v>404</v>
      </c>
      <c r="W187" t="s">
        <v>15</v>
      </c>
      <c r="X187" t="s">
        <v>407</v>
      </c>
      <c r="Y187" t="s">
        <v>12</v>
      </c>
    </row>
    <row r="188" spans="16:25" x14ac:dyDescent="0.45">
      <c r="P188" s="8" t="s">
        <v>408</v>
      </c>
      <c r="Q188" t="str" cm="1">
        <f t="array" ref="Q188:T188">_xlfn.TEXTSPLIT(P188, " ")</f>
        <v>24</v>
      </c>
      <c r="R188" t="str">
        <v>Clear_Breezy</v>
      </c>
      <c r="S188" t="str">
        <v>1.914</v>
      </c>
      <c r="T188" t="str">
        <v>0</v>
      </c>
      <c r="V188" t="s">
        <v>404</v>
      </c>
      <c r="W188" t="s">
        <v>20</v>
      </c>
      <c r="X188" t="s">
        <v>409</v>
      </c>
      <c r="Y188" t="s">
        <v>12</v>
      </c>
    </row>
    <row r="189" spans="16:25" x14ac:dyDescent="0.45">
      <c r="P189" s="8" t="s">
        <v>410</v>
      </c>
      <c r="Q189" t="str" cm="1">
        <f t="array" ref="Q189:T189">_xlfn.TEXTSPLIT(P189, " ")</f>
        <v>24</v>
      </c>
      <c r="R189" t="str">
        <v>Cloudy_Calm</v>
      </c>
      <c r="S189" t="str">
        <v>6.02</v>
      </c>
      <c r="T189" t="str">
        <v>0</v>
      </c>
      <c r="V189" t="s">
        <v>404</v>
      </c>
      <c r="W189" t="s">
        <v>23</v>
      </c>
      <c r="X189" t="s">
        <v>411</v>
      </c>
      <c r="Y189" t="s">
        <v>12</v>
      </c>
    </row>
    <row r="190" spans="16:25" x14ac:dyDescent="0.45">
      <c r="P190" s="8" t="s">
        <v>412</v>
      </c>
      <c r="Q190" t="str" cm="1">
        <f t="array" ref="Q190:T190">_xlfn.TEXTSPLIT(P190, " ")</f>
        <v>24</v>
      </c>
      <c r="R190" t="str">
        <v>Hot_Clear</v>
      </c>
      <c r="S190" t="str">
        <v>4.09</v>
      </c>
      <c r="T190" t="str">
        <v>0</v>
      </c>
      <c r="V190" t="s">
        <v>404</v>
      </c>
      <c r="W190" t="s">
        <v>26</v>
      </c>
      <c r="X190" t="s">
        <v>413</v>
      </c>
      <c r="Y190" t="s">
        <v>12</v>
      </c>
    </row>
    <row r="191" spans="16:25" x14ac:dyDescent="0.45">
      <c r="P191" s="8" t="s">
        <v>414</v>
      </c>
      <c r="Q191" t="str" cm="1">
        <f t="array" ref="Q191:T191">_xlfn.TEXTSPLIT(P191, " ")</f>
        <v>24</v>
      </c>
      <c r="R191" t="str">
        <v>Hot_Cloudy</v>
      </c>
      <c r="S191" t="str">
        <v>3.868</v>
      </c>
      <c r="T191" t="str">
        <v>0</v>
      </c>
      <c r="V191" t="s">
        <v>404</v>
      </c>
      <c r="W191" t="s">
        <v>29</v>
      </c>
      <c r="X191" t="s">
        <v>415</v>
      </c>
      <c r="Y191" t="s">
        <v>12</v>
      </c>
    </row>
    <row r="192" spans="16:25" x14ac:dyDescent="0.45">
      <c r="P192" s="8" t="s">
        <v>416</v>
      </c>
      <c r="Q192" t="str" cm="1">
        <f t="array" ref="Q192:T192">_xlfn.TEXTSPLIT(P192, " ")</f>
        <v>24</v>
      </c>
      <c r="R192" t="str">
        <v>Hot_Hazy</v>
      </c>
      <c r="S192" t="str">
        <v>6.044</v>
      </c>
      <c r="T192" t="str">
        <v>0</v>
      </c>
      <c r="V192" t="s">
        <v>404</v>
      </c>
      <c r="W192" t="s">
        <v>32</v>
      </c>
      <c r="X192" t="s">
        <v>12</v>
      </c>
      <c r="Y192" t="s">
        <v>417</v>
      </c>
    </row>
    <row r="193" spans="16:25" x14ac:dyDescent="0.45">
      <c r="P193" s="8" t="s">
        <v>418</v>
      </c>
      <c r="Q193" t="str" cm="1">
        <f t="array" ref="Q193:T193">_xlfn.TEXTSPLIT(P193, " ")</f>
        <v>24</v>
      </c>
      <c r="R193" t="str">
        <v>Mild_Balanced</v>
      </c>
      <c r="S193" t="str">
        <v>2.92</v>
      </c>
      <c r="T193" t="str">
        <v>0</v>
      </c>
      <c r="V193" t="s">
        <v>404</v>
      </c>
      <c r="W193" t="s">
        <v>35</v>
      </c>
      <c r="X193" t="s">
        <v>419</v>
      </c>
      <c r="Y193" t="s">
        <v>12</v>
      </c>
    </row>
    <row r="194" spans="16:25" x14ac:dyDescent="0.45">
      <c r="P194" s="8" t="s">
        <v>420</v>
      </c>
      <c r="Q194" t="str" cm="1">
        <f t="array" ref="Q194:T194">_xlfn.TEXTSPLIT(P194, " ")</f>
        <v>24</v>
      </c>
      <c r="R194" t="str">
        <v>Overcast_Windy</v>
      </c>
      <c r="S194" t="str">
        <v>0</v>
      </c>
      <c r="T194" t="str">
        <v>0.008</v>
      </c>
    </row>
    <row r="195" spans="16:25" x14ac:dyDescent="0.45">
      <c r="P195" s="8" t="s">
        <v>421</v>
      </c>
      <c r="Q195" t="str" cm="1">
        <f t="array" ref="Q195:T195">_xlfn.TEXTSPLIT(P195, " ")</f>
        <v>24</v>
      </c>
      <c r="R195" t="str">
        <v>Storm_PM</v>
      </c>
      <c r="S195" t="str">
        <v>3.916</v>
      </c>
      <c r="T195" t="str">
        <v>0</v>
      </c>
    </row>
  </sheetData>
  <autoFilter ref="W1:W195" xr:uid="{B7959197-568B-47EF-881C-F2589E3BB941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F206-E809-4C72-B6B8-A28E62117DA3}">
  <dimension ref="A1:Q25"/>
  <sheetViews>
    <sheetView topLeftCell="P11" zoomScale="110" zoomScaleNormal="110" workbookViewId="0">
      <selection activeCell="AA28" sqref="AA28"/>
    </sheetView>
  </sheetViews>
  <sheetFormatPr defaultRowHeight="14.25" x14ac:dyDescent="0.45"/>
  <cols>
    <col min="1" max="15" width="8.59765625" customWidth="1"/>
  </cols>
  <sheetData>
    <row r="1" spans="1:17" s="1" customFormat="1" ht="42.95" customHeight="1" x14ac:dyDescent="0.45">
      <c r="A1" s="1" t="s">
        <v>2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435</v>
      </c>
      <c r="P1" s="1" t="s">
        <v>436</v>
      </c>
      <c r="Q1" s="1" t="s">
        <v>437</v>
      </c>
    </row>
    <row r="2" spans="1:17" x14ac:dyDescent="0.45">
      <c r="A2" s="3">
        <v>1</v>
      </c>
      <c r="B2">
        <v>0.71199999999999997</v>
      </c>
      <c r="C2">
        <v>0</v>
      </c>
      <c r="D2">
        <v>4.7039999999999997</v>
      </c>
      <c r="E2">
        <v>0</v>
      </c>
      <c r="F2">
        <v>2.74</v>
      </c>
      <c r="G2">
        <v>0</v>
      </c>
      <c r="H2">
        <v>2.5219999999999998</v>
      </c>
      <c r="I2">
        <v>0</v>
      </c>
      <c r="J2">
        <v>4.6319999999999997</v>
      </c>
      <c r="K2">
        <v>0</v>
      </c>
      <c r="L2">
        <v>1.74</v>
      </c>
      <c r="M2">
        <v>0</v>
      </c>
      <c r="N2">
        <v>0</v>
      </c>
      <c r="O2">
        <v>1.1120000000000001</v>
      </c>
      <c r="P2">
        <v>2.798</v>
      </c>
      <c r="Q2">
        <v>0</v>
      </c>
    </row>
    <row r="3" spans="1:17" x14ac:dyDescent="0.45">
      <c r="A3" s="3">
        <v>2</v>
      </c>
      <c r="B3">
        <v>8.5999999999999993E-2</v>
      </c>
      <c r="C3">
        <v>0</v>
      </c>
      <c r="D3">
        <v>4.2359999999999998</v>
      </c>
      <c r="E3">
        <v>0</v>
      </c>
      <c r="F3">
        <v>2.15</v>
      </c>
      <c r="G3">
        <v>0</v>
      </c>
      <c r="H3">
        <v>1.9079999999999999</v>
      </c>
      <c r="I3">
        <v>0</v>
      </c>
      <c r="J3">
        <v>4.1159999999999997</v>
      </c>
      <c r="K3">
        <v>0</v>
      </c>
      <c r="L3">
        <v>1.18</v>
      </c>
      <c r="M3">
        <v>0</v>
      </c>
      <c r="N3">
        <v>0</v>
      </c>
      <c r="O3">
        <v>1.6020000000000001</v>
      </c>
      <c r="P3">
        <v>2.222</v>
      </c>
      <c r="Q3">
        <v>0</v>
      </c>
    </row>
    <row r="4" spans="1:17" x14ac:dyDescent="0.45">
      <c r="A4" s="3">
        <v>3</v>
      </c>
      <c r="B4">
        <v>0</v>
      </c>
      <c r="C4">
        <v>0</v>
      </c>
      <c r="D4">
        <v>4.03</v>
      </c>
      <c r="E4">
        <v>0</v>
      </c>
      <c r="F4">
        <v>1.92</v>
      </c>
      <c r="G4">
        <v>0</v>
      </c>
      <c r="H4">
        <v>1.6706399999999999</v>
      </c>
      <c r="I4">
        <v>0</v>
      </c>
      <c r="J4">
        <v>3.82287</v>
      </c>
      <c r="K4">
        <v>0</v>
      </c>
      <c r="L4">
        <v>0.98</v>
      </c>
      <c r="M4">
        <v>0</v>
      </c>
      <c r="N4">
        <v>0</v>
      </c>
      <c r="O4">
        <v>1.68</v>
      </c>
      <c r="P4">
        <v>2.0193599999999998</v>
      </c>
      <c r="Q4">
        <v>0</v>
      </c>
    </row>
    <row r="5" spans="1:17" x14ac:dyDescent="0.45">
      <c r="A5" s="3">
        <v>4</v>
      </c>
      <c r="B5">
        <v>0</v>
      </c>
      <c r="C5">
        <v>0</v>
      </c>
      <c r="D5">
        <v>3.9125100000000002</v>
      </c>
      <c r="E5">
        <v>0</v>
      </c>
      <c r="F5">
        <v>1.7908500000000001</v>
      </c>
      <c r="G5">
        <v>0</v>
      </c>
      <c r="H5">
        <v>1.5468900000000001</v>
      </c>
      <c r="I5">
        <v>0</v>
      </c>
      <c r="J5">
        <v>3.6281300000000001</v>
      </c>
      <c r="K5">
        <v>0</v>
      </c>
      <c r="L5">
        <v>0.86084799999999995</v>
      </c>
      <c r="M5">
        <v>0</v>
      </c>
      <c r="N5">
        <v>0</v>
      </c>
      <c r="O5">
        <v>1.6758299999999999</v>
      </c>
      <c r="P5">
        <v>1.8748100000000001</v>
      </c>
      <c r="Q5">
        <v>0</v>
      </c>
    </row>
    <row r="6" spans="1:17" x14ac:dyDescent="0.45">
      <c r="A6" s="3">
        <v>5</v>
      </c>
      <c r="B6">
        <v>0.33400000000000002</v>
      </c>
      <c r="C6">
        <v>0</v>
      </c>
      <c r="D6">
        <v>3.91</v>
      </c>
      <c r="E6">
        <v>0</v>
      </c>
      <c r="F6">
        <v>1.93</v>
      </c>
      <c r="G6">
        <v>0</v>
      </c>
      <c r="H6">
        <v>1.758</v>
      </c>
      <c r="I6">
        <v>0</v>
      </c>
      <c r="J6">
        <v>3.77</v>
      </c>
      <c r="K6">
        <v>0</v>
      </c>
      <c r="L6">
        <v>0.99</v>
      </c>
      <c r="M6">
        <v>0</v>
      </c>
      <c r="N6">
        <v>0</v>
      </c>
      <c r="O6">
        <v>1.3440000000000001</v>
      </c>
      <c r="P6">
        <v>2.0219999999999998</v>
      </c>
      <c r="Q6">
        <v>0</v>
      </c>
    </row>
    <row r="7" spans="1:17" x14ac:dyDescent="0.45">
      <c r="A7" s="3">
        <v>6</v>
      </c>
      <c r="B7">
        <v>1.65</v>
      </c>
      <c r="C7">
        <v>0</v>
      </c>
      <c r="D7">
        <v>4.6340000000000003</v>
      </c>
      <c r="E7">
        <v>0</v>
      </c>
      <c r="F7">
        <v>3.02</v>
      </c>
      <c r="G7">
        <v>0</v>
      </c>
      <c r="H7">
        <v>2.9279999999999999</v>
      </c>
      <c r="I7">
        <v>0</v>
      </c>
      <c r="J7">
        <v>4.7160000000000002</v>
      </c>
      <c r="K7">
        <v>0</v>
      </c>
      <c r="L7">
        <v>2.1</v>
      </c>
      <c r="M7">
        <v>0</v>
      </c>
      <c r="N7">
        <v>0.14399999999999999</v>
      </c>
      <c r="O7">
        <v>0</v>
      </c>
      <c r="P7">
        <v>3.0640000000000001</v>
      </c>
      <c r="Q7">
        <v>0</v>
      </c>
    </row>
    <row r="8" spans="1:17" x14ac:dyDescent="0.45">
      <c r="A8" s="3">
        <v>7</v>
      </c>
      <c r="B8">
        <v>3.6120000000000001</v>
      </c>
      <c r="C8">
        <v>0</v>
      </c>
      <c r="D8">
        <v>6.0839999999999996</v>
      </c>
      <c r="E8">
        <v>0</v>
      </c>
      <c r="F8">
        <v>4.8899999999999997</v>
      </c>
      <c r="G8">
        <v>0</v>
      </c>
      <c r="H8">
        <v>4.8920000000000003</v>
      </c>
      <c r="I8">
        <v>0</v>
      </c>
      <c r="J8">
        <v>6.3819999999999997</v>
      </c>
      <c r="K8">
        <v>0</v>
      </c>
      <c r="L8">
        <v>3.9380000000000002</v>
      </c>
      <c r="M8">
        <v>0</v>
      </c>
      <c r="N8">
        <v>2.1960000000000002</v>
      </c>
      <c r="O8">
        <v>0</v>
      </c>
      <c r="P8">
        <v>4.6980000000000004</v>
      </c>
      <c r="Q8">
        <v>0</v>
      </c>
    </row>
    <row r="9" spans="1:17" x14ac:dyDescent="0.45">
      <c r="A9" s="3">
        <v>8</v>
      </c>
      <c r="B9">
        <v>5.7359999999999998</v>
      </c>
      <c r="C9">
        <v>0</v>
      </c>
      <c r="D9">
        <v>7.7480000000000002</v>
      </c>
      <c r="E9">
        <v>0</v>
      </c>
      <c r="F9">
        <v>7.08</v>
      </c>
      <c r="G9">
        <v>0</v>
      </c>
      <c r="H9">
        <v>7.1479999999999997</v>
      </c>
      <c r="I9">
        <v>0</v>
      </c>
      <c r="J9">
        <v>8.3780000000000001</v>
      </c>
      <c r="K9">
        <v>0</v>
      </c>
      <c r="L9">
        <v>5.8639999999999999</v>
      </c>
      <c r="M9">
        <v>0</v>
      </c>
      <c r="N9">
        <v>4.41</v>
      </c>
      <c r="O9">
        <v>0</v>
      </c>
      <c r="P9">
        <v>6.64</v>
      </c>
      <c r="Q9">
        <v>0</v>
      </c>
    </row>
    <row r="10" spans="1:17" x14ac:dyDescent="0.45">
      <c r="A10" s="3">
        <v>9</v>
      </c>
      <c r="B10">
        <v>2.5619999999999998</v>
      </c>
      <c r="C10">
        <v>0</v>
      </c>
      <c r="D10">
        <v>6.6159999999999997</v>
      </c>
      <c r="E10">
        <v>0</v>
      </c>
      <c r="F10">
        <v>4.0199999999999996</v>
      </c>
      <c r="G10">
        <v>0</v>
      </c>
      <c r="H10">
        <v>6.06</v>
      </c>
      <c r="I10">
        <v>0</v>
      </c>
      <c r="J10">
        <v>5.6779999999999999</v>
      </c>
      <c r="K10">
        <v>0</v>
      </c>
      <c r="L10">
        <v>2.944</v>
      </c>
      <c r="M10">
        <v>0</v>
      </c>
      <c r="N10">
        <v>4.47</v>
      </c>
      <c r="O10">
        <v>0</v>
      </c>
      <c r="P10">
        <v>3.528</v>
      </c>
      <c r="Q10">
        <v>0</v>
      </c>
    </row>
    <row r="11" spans="1:17" x14ac:dyDescent="0.45">
      <c r="A11" s="3">
        <v>10</v>
      </c>
      <c r="B11">
        <v>0</v>
      </c>
      <c r="C11">
        <v>0</v>
      </c>
      <c r="D11">
        <v>5.5040800000000001</v>
      </c>
      <c r="E11">
        <v>0</v>
      </c>
      <c r="F11">
        <v>1.7103999999999999</v>
      </c>
      <c r="G11">
        <v>0</v>
      </c>
      <c r="H11">
        <v>5.2603999999999997</v>
      </c>
      <c r="I11">
        <v>0</v>
      </c>
      <c r="J11">
        <v>3.3815200000000001</v>
      </c>
      <c r="K11">
        <v>0</v>
      </c>
      <c r="L11">
        <v>0.49647999999999998</v>
      </c>
      <c r="M11">
        <v>0</v>
      </c>
      <c r="N11">
        <v>4.60928</v>
      </c>
      <c r="O11">
        <v>0</v>
      </c>
      <c r="P11">
        <v>1.40784</v>
      </c>
      <c r="Q11">
        <v>0</v>
      </c>
    </row>
    <row r="12" spans="1:17" x14ac:dyDescent="0.45">
      <c r="A12" s="3">
        <v>11</v>
      </c>
      <c r="B12">
        <v>0</v>
      </c>
      <c r="C12">
        <v>0.39</v>
      </c>
      <c r="D12">
        <v>5.94</v>
      </c>
      <c r="E12">
        <v>0</v>
      </c>
      <c r="F12">
        <v>1.5</v>
      </c>
      <c r="G12">
        <v>0</v>
      </c>
      <c r="H12">
        <v>6.4</v>
      </c>
      <c r="I12">
        <v>0</v>
      </c>
      <c r="J12">
        <v>2.58</v>
      </c>
      <c r="K12">
        <v>0</v>
      </c>
      <c r="L12">
        <v>0.24</v>
      </c>
      <c r="M12">
        <v>0</v>
      </c>
      <c r="N12">
        <v>7.24</v>
      </c>
      <c r="O12">
        <v>0</v>
      </c>
      <c r="P12">
        <v>2.65</v>
      </c>
      <c r="Q12">
        <v>0</v>
      </c>
    </row>
    <row r="13" spans="1:17" x14ac:dyDescent="0.45">
      <c r="A13" s="3">
        <v>12</v>
      </c>
      <c r="B13">
        <v>0</v>
      </c>
      <c r="C13">
        <v>3.05</v>
      </c>
      <c r="D13">
        <v>4.46</v>
      </c>
      <c r="E13">
        <v>0</v>
      </c>
      <c r="F13">
        <v>0</v>
      </c>
      <c r="G13">
        <v>0.79</v>
      </c>
      <c r="H13">
        <v>4.9400000000000004</v>
      </c>
      <c r="I13">
        <v>0</v>
      </c>
      <c r="J13">
        <v>0.49</v>
      </c>
      <c r="K13">
        <v>0</v>
      </c>
      <c r="L13">
        <v>0</v>
      </c>
      <c r="M13">
        <v>2.3199999999999998</v>
      </c>
      <c r="N13">
        <v>6.38</v>
      </c>
      <c r="O13">
        <v>0</v>
      </c>
      <c r="P13">
        <v>2.95</v>
      </c>
      <c r="Q13">
        <v>0</v>
      </c>
    </row>
    <row r="14" spans="1:17" x14ac:dyDescent="0.45">
      <c r="A14" s="3">
        <v>13</v>
      </c>
      <c r="B14">
        <v>0</v>
      </c>
      <c r="C14">
        <v>4.12</v>
      </c>
      <c r="D14">
        <v>4.0999999999999996</v>
      </c>
      <c r="E14">
        <v>0</v>
      </c>
      <c r="F14">
        <v>0</v>
      </c>
      <c r="G14">
        <v>1.57</v>
      </c>
      <c r="H14">
        <v>4.34</v>
      </c>
      <c r="I14">
        <v>0</v>
      </c>
      <c r="J14">
        <v>0</v>
      </c>
      <c r="K14">
        <v>0</v>
      </c>
      <c r="L14">
        <v>0</v>
      </c>
      <c r="M14">
        <v>3.45</v>
      </c>
      <c r="N14">
        <v>5.95</v>
      </c>
      <c r="O14">
        <v>0</v>
      </c>
      <c r="P14">
        <v>6.79</v>
      </c>
      <c r="Q14">
        <v>0</v>
      </c>
    </row>
    <row r="15" spans="1:17" x14ac:dyDescent="0.45">
      <c r="A15" s="3">
        <v>14</v>
      </c>
      <c r="B15">
        <v>0</v>
      </c>
      <c r="C15">
        <v>3.77</v>
      </c>
      <c r="D15">
        <v>4.6399999999999997</v>
      </c>
      <c r="E15">
        <v>0</v>
      </c>
      <c r="F15">
        <v>0</v>
      </c>
      <c r="G15">
        <v>1.1499999999999999</v>
      </c>
      <c r="H15">
        <v>4.8899999999999997</v>
      </c>
      <c r="I15">
        <v>0</v>
      </c>
      <c r="J15">
        <v>0.66</v>
      </c>
      <c r="K15">
        <v>0</v>
      </c>
      <c r="L15">
        <v>0</v>
      </c>
      <c r="M15">
        <v>3.23</v>
      </c>
      <c r="N15">
        <v>6.18</v>
      </c>
      <c r="O15">
        <v>0</v>
      </c>
      <c r="P15">
        <v>11.13</v>
      </c>
      <c r="Q15">
        <v>0</v>
      </c>
    </row>
    <row r="16" spans="1:17" x14ac:dyDescent="0.45">
      <c r="A16" s="3">
        <v>15</v>
      </c>
      <c r="B16">
        <v>0</v>
      </c>
      <c r="C16">
        <v>2.84</v>
      </c>
      <c r="D16">
        <v>5.5259999999999998</v>
      </c>
      <c r="E16">
        <v>0</v>
      </c>
      <c r="F16">
        <v>0</v>
      </c>
      <c r="G16">
        <v>0</v>
      </c>
      <c r="H16">
        <v>6.1340000000000003</v>
      </c>
      <c r="I16">
        <v>0</v>
      </c>
      <c r="J16">
        <v>2.1760000000000002</v>
      </c>
      <c r="K16">
        <v>0</v>
      </c>
      <c r="L16">
        <v>0</v>
      </c>
      <c r="M16">
        <v>2.3679999999999999</v>
      </c>
      <c r="N16">
        <v>6.5579999999999998</v>
      </c>
      <c r="O16">
        <v>0</v>
      </c>
      <c r="P16">
        <v>11.646000000000001</v>
      </c>
      <c r="Q16">
        <v>0</v>
      </c>
    </row>
    <row r="17" spans="1:17" x14ac:dyDescent="0.45">
      <c r="A17" s="3">
        <v>16</v>
      </c>
      <c r="B17">
        <v>0</v>
      </c>
      <c r="C17">
        <v>2.718</v>
      </c>
      <c r="D17">
        <v>5.8239999999999998</v>
      </c>
      <c r="E17">
        <v>0</v>
      </c>
      <c r="F17">
        <v>0.43</v>
      </c>
      <c r="G17">
        <v>0</v>
      </c>
      <c r="H17">
        <v>5.9080000000000004</v>
      </c>
      <c r="I17">
        <v>0</v>
      </c>
      <c r="J17">
        <v>3.226</v>
      </c>
      <c r="K17">
        <v>0</v>
      </c>
      <c r="L17">
        <v>0</v>
      </c>
      <c r="M17">
        <v>2.4079999999999999</v>
      </c>
      <c r="N17">
        <v>4.5620000000000003</v>
      </c>
      <c r="O17">
        <v>0</v>
      </c>
      <c r="P17">
        <v>7.3739999999999997</v>
      </c>
      <c r="Q17">
        <v>0</v>
      </c>
    </row>
    <row r="18" spans="1:17" x14ac:dyDescent="0.45">
      <c r="A18" s="3">
        <v>17</v>
      </c>
      <c r="B18">
        <v>0.68799999999999994</v>
      </c>
      <c r="C18">
        <v>0</v>
      </c>
      <c r="D18">
        <v>8.26</v>
      </c>
      <c r="E18">
        <v>0</v>
      </c>
      <c r="F18">
        <v>4.25</v>
      </c>
      <c r="G18">
        <v>0</v>
      </c>
      <c r="H18">
        <v>8.5500000000000007</v>
      </c>
      <c r="I18">
        <v>0</v>
      </c>
      <c r="J18">
        <v>7</v>
      </c>
      <c r="K18">
        <v>0</v>
      </c>
      <c r="L18">
        <v>0.83</v>
      </c>
      <c r="M18">
        <v>0</v>
      </c>
      <c r="N18">
        <v>5.83</v>
      </c>
      <c r="O18">
        <v>0</v>
      </c>
      <c r="P18">
        <v>6.77</v>
      </c>
      <c r="Q18">
        <v>0</v>
      </c>
    </row>
    <row r="19" spans="1:17" x14ac:dyDescent="0.45">
      <c r="A19" s="3">
        <v>18</v>
      </c>
      <c r="B19">
        <v>4.992</v>
      </c>
      <c r="C19">
        <v>0</v>
      </c>
      <c r="D19">
        <v>10.885999999999999</v>
      </c>
      <c r="E19">
        <v>0</v>
      </c>
      <c r="F19">
        <v>8.6300000000000008</v>
      </c>
      <c r="G19">
        <v>0</v>
      </c>
      <c r="H19">
        <v>11.214</v>
      </c>
      <c r="I19">
        <v>0</v>
      </c>
      <c r="J19">
        <v>11.1</v>
      </c>
      <c r="K19">
        <v>0</v>
      </c>
      <c r="L19">
        <v>4.8520000000000003</v>
      </c>
      <c r="M19">
        <v>0</v>
      </c>
      <c r="N19">
        <v>7.1840000000000002</v>
      </c>
      <c r="O19">
        <v>0</v>
      </c>
      <c r="P19">
        <v>6.89</v>
      </c>
      <c r="Q19">
        <v>0</v>
      </c>
    </row>
    <row r="20" spans="1:17" x14ac:dyDescent="0.45">
      <c r="A20" s="3">
        <v>19</v>
      </c>
      <c r="B20">
        <v>7.9480000000000004</v>
      </c>
      <c r="C20">
        <v>0</v>
      </c>
      <c r="D20">
        <v>12.348000000000001</v>
      </c>
      <c r="E20">
        <v>0</v>
      </c>
      <c r="F20">
        <v>11.49</v>
      </c>
      <c r="G20">
        <v>0</v>
      </c>
      <c r="H20">
        <v>12.374000000000001</v>
      </c>
      <c r="I20">
        <v>0</v>
      </c>
      <c r="J20">
        <v>13.582000000000001</v>
      </c>
      <c r="K20">
        <v>0</v>
      </c>
      <c r="L20">
        <v>7.8440000000000003</v>
      </c>
      <c r="M20">
        <v>0</v>
      </c>
      <c r="N20">
        <v>7.4960000000000004</v>
      </c>
      <c r="O20">
        <v>0</v>
      </c>
      <c r="P20">
        <v>7.718</v>
      </c>
      <c r="Q20">
        <v>0</v>
      </c>
    </row>
    <row r="21" spans="1:17" x14ac:dyDescent="0.45">
      <c r="A21" s="3">
        <v>20</v>
      </c>
      <c r="B21">
        <v>9.0839999999999996</v>
      </c>
      <c r="C21">
        <v>0</v>
      </c>
      <c r="D21">
        <v>12.596</v>
      </c>
      <c r="E21">
        <v>0</v>
      </c>
      <c r="F21">
        <v>12.38</v>
      </c>
      <c r="G21">
        <v>0</v>
      </c>
      <c r="H21">
        <v>12.007999999999999</v>
      </c>
      <c r="I21">
        <v>0</v>
      </c>
      <c r="J21">
        <v>14.096</v>
      </c>
      <c r="K21">
        <v>0</v>
      </c>
      <c r="L21">
        <v>9.1760000000000002</v>
      </c>
      <c r="M21">
        <v>0</v>
      </c>
      <c r="N21">
        <v>6.94</v>
      </c>
      <c r="O21">
        <v>0</v>
      </c>
      <c r="P21">
        <v>8.9740000000000002</v>
      </c>
      <c r="Q21">
        <v>0</v>
      </c>
    </row>
    <row r="22" spans="1:17" x14ac:dyDescent="0.45">
      <c r="A22" s="3">
        <v>21</v>
      </c>
      <c r="B22">
        <v>7.298</v>
      </c>
      <c r="C22">
        <v>0</v>
      </c>
      <c r="D22">
        <v>11.256</v>
      </c>
      <c r="E22">
        <v>0</v>
      </c>
      <c r="F22">
        <v>10.31</v>
      </c>
      <c r="G22">
        <v>0</v>
      </c>
      <c r="H22">
        <v>9.9979999999999993</v>
      </c>
      <c r="I22">
        <v>0</v>
      </c>
      <c r="J22">
        <v>12.108000000000001</v>
      </c>
      <c r="K22">
        <v>0</v>
      </c>
      <c r="L22">
        <v>7.8380000000000001</v>
      </c>
      <c r="M22">
        <v>0</v>
      </c>
      <c r="N22">
        <v>5.28</v>
      </c>
      <c r="O22">
        <v>0</v>
      </c>
      <c r="P22">
        <v>8.0640000000000001</v>
      </c>
      <c r="Q22">
        <v>0</v>
      </c>
    </row>
    <row r="23" spans="1:17" x14ac:dyDescent="0.45">
      <c r="A23" s="3">
        <v>22</v>
      </c>
      <c r="B23">
        <v>5.2960000000000003</v>
      </c>
      <c r="C23">
        <v>0</v>
      </c>
      <c r="D23">
        <v>9.5039999999999996</v>
      </c>
      <c r="E23">
        <v>0</v>
      </c>
      <c r="F23">
        <v>8.11</v>
      </c>
      <c r="G23">
        <v>0</v>
      </c>
      <c r="H23">
        <v>7.8860000000000001</v>
      </c>
      <c r="I23">
        <v>0</v>
      </c>
      <c r="J23">
        <v>10.102</v>
      </c>
      <c r="K23">
        <v>0</v>
      </c>
      <c r="L23">
        <v>6.194</v>
      </c>
      <c r="M23">
        <v>0</v>
      </c>
      <c r="N23">
        <v>3.3479999999999999</v>
      </c>
      <c r="O23">
        <v>0</v>
      </c>
      <c r="P23">
        <v>6.81</v>
      </c>
      <c r="Q23">
        <v>0</v>
      </c>
    </row>
    <row r="24" spans="1:17" x14ac:dyDescent="0.45">
      <c r="A24" s="3">
        <v>23</v>
      </c>
      <c r="B24">
        <v>3.5139999999999998</v>
      </c>
      <c r="C24">
        <v>0</v>
      </c>
      <c r="D24">
        <v>7.72</v>
      </c>
      <c r="E24">
        <v>0</v>
      </c>
      <c r="F24">
        <v>6.01</v>
      </c>
      <c r="G24">
        <v>0</v>
      </c>
      <c r="H24">
        <v>5.8079999999999998</v>
      </c>
      <c r="I24">
        <v>0</v>
      </c>
      <c r="J24">
        <v>8.0039999999999996</v>
      </c>
      <c r="K24">
        <v>0</v>
      </c>
      <c r="L24">
        <v>4.5199999999999996</v>
      </c>
      <c r="M24">
        <v>0</v>
      </c>
      <c r="N24">
        <v>1.5720000000000001</v>
      </c>
      <c r="O24">
        <v>0</v>
      </c>
      <c r="P24">
        <v>5.54</v>
      </c>
      <c r="Q24">
        <v>0</v>
      </c>
    </row>
    <row r="25" spans="1:17" x14ac:dyDescent="0.45">
      <c r="A25" s="3">
        <v>24</v>
      </c>
      <c r="B25">
        <v>1.9139999999999999</v>
      </c>
      <c r="C25">
        <v>0</v>
      </c>
      <c r="D25">
        <v>6.02</v>
      </c>
      <c r="E25">
        <v>0</v>
      </c>
      <c r="F25">
        <v>4.09</v>
      </c>
      <c r="G25">
        <v>0</v>
      </c>
      <c r="H25">
        <v>3.8679999999999999</v>
      </c>
      <c r="I25">
        <v>0</v>
      </c>
      <c r="J25">
        <v>6.0439999999999996</v>
      </c>
      <c r="K25">
        <v>0</v>
      </c>
      <c r="L25">
        <v>2.92</v>
      </c>
      <c r="M25">
        <v>0</v>
      </c>
      <c r="N25">
        <v>0</v>
      </c>
      <c r="O25">
        <v>8.0000000000000002E-3</v>
      </c>
      <c r="P25">
        <v>3.9159999999999999</v>
      </c>
      <c r="Q2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1207-31E5-4F87-9AE5-A19F4C541C07}">
  <dimension ref="A1:M28"/>
  <sheetViews>
    <sheetView tabSelected="1" workbookViewId="0">
      <selection activeCell="M11" sqref="M11"/>
    </sheetView>
  </sheetViews>
  <sheetFormatPr defaultRowHeight="14.25" x14ac:dyDescent="0.45"/>
  <sheetData>
    <row r="1" spans="1:13" x14ac:dyDescent="0.45">
      <c r="A1" s="5" t="s">
        <v>0</v>
      </c>
      <c r="C1" s="5" t="s">
        <v>438</v>
      </c>
      <c r="D1" s="10">
        <v>11518.34096</v>
      </c>
    </row>
    <row r="2" spans="1:13" x14ac:dyDescent="0.45">
      <c r="A2" s="5" t="s">
        <v>439</v>
      </c>
    </row>
    <row r="3" spans="1:13" x14ac:dyDescent="0.45">
      <c r="A3" s="5" t="s">
        <v>440</v>
      </c>
    </row>
    <row r="4" spans="1:13" x14ac:dyDescent="0.45">
      <c r="A4" t="s">
        <v>2</v>
      </c>
      <c r="B4" t="s">
        <v>17</v>
      </c>
      <c r="C4" t="s">
        <v>18</v>
      </c>
    </row>
    <row r="5" spans="1:13" x14ac:dyDescent="0.45">
      <c r="A5">
        <v>1</v>
      </c>
      <c r="B5">
        <v>0</v>
      </c>
      <c r="C5">
        <v>14</v>
      </c>
    </row>
    <row r="6" spans="1:13" x14ac:dyDescent="0.45">
      <c r="A6">
        <v>2</v>
      </c>
      <c r="B6">
        <v>0</v>
      </c>
      <c r="C6">
        <v>14</v>
      </c>
    </row>
    <row r="7" spans="1:13" x14ac:dyDescent="0.45">
      <c r="A7">
        <v>3</v>
      </c>
      <c r="B7">
        <v>0</v>
      </c>
      <c r="C7">
        <v>14</v>
      </c>
    </row>
    <row r="8" spans="1:13" x14ac:dyDescent="0.45">
      <c r="A8">
        <v>4</v>
      </c>
      <c r="B8">
        <v>0</v>
      </c>
      <c r="C8">
        <v>14</v>
      </c>
    </row>
    <row r="9" spans="1:13" x14ac:dyDescent="0.45">
      <c r="A9">
        <v>5</v>
      </c>
      <c r="B9">
        <v>0</v>
      </c>
      <c r="C9">
        <v>14</v>
      </c>
    </row>
    <row r="10" spans="1:13" x14ac:dyDescent="0.45">
      <c r="A10">
        <v>6</v>
      </c>
      <c r="B10">
        <v>0</v>
      </c>
      <c r="C10">
        <v>14</v>
      </c>
    </row>
    <row r="11" spans="1:13" x14ac:dyDescent="0.45">
      <c r="A11">
        <v>7</v>
      </c>
      <c r="B11">
        <v>0</v>
      </c>
      <c r="C11">
        <v>14</v>
      </c>
    </row>
    <row r="12" spans="1:13" x14ac:dyDescent="0.45">
      <c r="A12">
        <v>8</v>
      </c>
      <c r="B12">
        <v>0</v>
      </c>
      <c r="C12">
        <v>14</v>
      </c>
    </row>
    <row r="13" spans="1:13" x14ac:dyDescent="0.45">
      <c r="A13">
        <v>9</v>
      </c>
      <c r="B13">
        <v>20</v>
      </c>
      <c r="C13">
        <v>14</v>
      </c>
    </row>
    <row r="14" spans="1:13" x14ac:dyDescent="0.45">
      <c r="A14">
        <v>10</v>
      </c>
      <c r="B14">
        <v>20</v>
      </c>
      <c r="C14">
        <v>14</v>
      </c>
    </row>
    <row r="15" spans="1:13" x14ac:dyDescent="0.45">
      <c r="A15">
        <v>11</v>
      </c>
      <c r="B15">
        <v>20</v>
      </c>
      <c r="C15">
        <v>14</v>
      </c>
      <c r="M15" s="12">
        <v>11518.3</v>
      </c>
    </row>
    <row r="16" spans="1:13" x14ac:dyDescent="0.45">
      <c r="A16">
        <v>12</v>
      </c>
      <c r="B16">
        <v>20</v>
      </c>
      <c r="C16">
        <v>6.22363</v>
      </c>
    </row>
    <row r="17" spans="1:3" x14ac:dyDescent="0.45">
      <c r="A17">
        <v>13</v>
      </c>
      <c r="B17">
        <v>20</v>
      </c>
      <c r="C17">
        <v>5.0084099999999996</v>
      </c>
    </row>
    <row r="18" spans="1:3" x14ac:dyDescent="0.45">
      <c r="A18">
        <v>14</v>
      </c>
      <c r="B18">
        <v>20</v>
      </c>
      <c r="C18">
        <v>9.4413199999999993</v>
      </c>
    </row>
    <row r="19" spans="1:3" x14ac:dyDescent="0.45">
      <c r="A19">
        <v>15</v>
      </c>
      <c r="B19">
        <v>20</v>
      </c>
      <c r="C19">
        <v>14</v>
      </c>
    </row>
    <row r="20" spans="1:3" x14ac:dyDescent="0.45">
      <c r="A20">
        <v>16</v>
      </c>
      <c r="B20">
        <v>20</v>
      </c>
      <c r="C20">
        <v>14</v>
      </c>
    </row>
    <row r="21" spans="1:3" x14ac:dyDescent="0.45">
      <c r="A21">
        <v>17</v>
      </c>
      <c r="B21">
        <v>20</v>
      </c>
      <c r="C21">
        <v>14</v>
      </c>
    </row>
    <row r="22" spans="1:3" x14ac:dyDescent="0.45">
      <c r="A22">
        <v>18</v>
      </c>
      <c r="B22">
        <v>20</v>
      </c>
      <c r="C22">
        <v>14</v>
      </c>
    </row>
    <row r="23" spans="1:3" x14ac:dyDescent="0.45">
      <c r="A23">
        <v>19</v>
      </c>
      <c r="B23">
        <v>20</v>
      </c>
      <c r="C23">
        <v>14</v>
      </c>
    </row>
    <row r="24" spans="1:3" x14ac:dyDescent="0.45">
      <c r="A24">
        <v>20</v>
      </c>
      <c r="B24">
        <v>0</v>
      </c>
      <c r="C24">
        <v>14</v>
      </c>
    </row>
    <row r="25" spans="1:3" x14ac:dyDescent="0.45">
      <c r="A25">
        <v>21</v>
      </c>
      <c r="B25">
        <v>0</v>
      </c>
      <c r="C25">
        <v>14</v>
      </c>
    </row>
    <row r="26" spans="1:3" x14ac:dyDescent="0.45">
      <c r="A26">
        <v>22</v>
      </c>
      <c r="B26">
        <v>0</v>
      </c>
      <c r="C26">
        <v>14</v>
      </c>
    </row>
    <row r="27" spans="1:3" x14ac:dyDescent="0.45">
      <c r="A27">
        <v>23</v>
      </c>
      <c r="B27">
        <v>0</v>
      </c>
      <c r="C27">
        <v>14</v>
      </c>
    </row>
    <row r="28" spans="1:3" x14ac:dyDescent="0.45">
      <c r="A28">
        <v>24</v>
      </c>
      <c r="B28">
        <v>0</v>
      </c>
      <c r="C28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7844-AEE1-49E8-9371-833C1AB5BAC6}">
  <dimension ref="A1:Q25"/>
  <sheetViews>
    <sheetView topLeftCell="M1" zoomScale="90" zoomScaleNormal="90" workbookViewId="0">
      <selection activeCell="AA34" sqref="AA34"/>
    </sheetView>
  </sheetViews>
  <sheetFormatPr defaultRowHeight="14.25" x14ac:dyDescent="0.45"/>
  <cols>
    <col min="1" max="1" width="8.59765625" customWidth="1"/>
  </cols>
  <sheetData>
    <row r="1" spans="1:17" s="1" customFormat="1" ht="42.75" x14ac:dyDescent="0.45">
      <c r="A1" s="1" t="s">
        <v>2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470</v>
      </c>
      <c r="N1" s="1" t="s">
        <v>434</v>
      </c>
      <c r="O1" s="1" t="s">
        <v>435</v>
      </c>
      <c r="P1" s="1" t="s">
        <v>436</v>
      </c>
      <c r="Q1" s="1" t="s">
        <v>437</v>
      </c>
    </row>
    <row r="2" spans="1:17" x14ac:dyDescent="0.45">
      <c r="A2" s="3">
        <v>1</v>
      </c>
      <c r="B2">
        <v>0.71199999999999997</v>
      </c>
      <c r="C2">
        <v>0</v>
      </c>
      <c r="D2">
        <v>4.7039999999999997</v>
      </c>
      <c r="E2">
        <v>0</v>
      </c>
      <c r="F2">
        <v>2.74</v>
      </c>
      <c r="G2">
        <v>0</v>
      </c>
      <c r="H2">
        <v>2.5219999999999998</v>
      </c>
      <c r="I2">
        <v>0</v>
      </c>
      <c r="J2">
        <v>4.6319999999999997</v>
      </c>
      <c r="K2">
        <v>0</v>
      </c>
      <c r="L2">
        <v>1.74</v>
      </c>
      <c r="M2">
        <v>0</v>
      </c>
      <c r="N2">
        <v>0</v>
      </c>
      <c r="O2">
        <v>1.1120000000000001</v>
      </c>
      <c r="P2">
        <v>2.798</v>
      </c>
      <c r="Q2">
        <v>0</v>
      </c>
    </row>
    <row r="3" spans="1:17" x14ac:dyDescent="0.45">
      <c r="A3" s="3">
        <v>2</v>
      </c>
      <c r="B3">
        <v>8.5999999999999993E-2</v>
      </c>
      <c r="C3">
        <v>0</v>
      </c>
      <c r="D3">
        <v>4.2359999999999998</v>
      </c>
      <c r="E3">
        <v>0</v>
      </c>
      <c r="F3">
        <v>2.15</v>
      </c>
      <c r="G3">
        <v>0</v>
      </c>
      <c r="H3">
        <v>1.9079999999999999</v>
      </c>
      <c r="I3">
        <v>0</v>
      </c>
      <c r="J3">
        <v>4.1159999999999997</v>
      </c>
      <c r="K3">
        <v>0</v>
      </c>
      <c r="L3">
        <v>1.18</v>
      </c>
      <c r="M3">
        <v>0</v>
      </c>
      <c r="N3">
        <v>0</v>
      </c>
      <c r="O3">
        <v>1.6020000000000001</v>
      </c>
      <c r="P3">
        <v>2.222</v>
      </c>
      <c r="Q3">
        <v>0</v>
      </c>
    </row>
    <row r="4" spans="1:17" x14ac:dyDescent="0.45">
      <c r="A4" s="3">
        <v>3</v>
      </c>
      <c r="B4">
        <v>0</v>
      </c>
      <c r="C4">
        <v>0</v>
      </c>
      <c r="D4">
        <v>4.03</v>
      </c>
      <c r="E4">
        <v>0</v>
      </c>
      <c r="F4">
        <v>1.92</v>
      </c>
      <c r="G4">
        <v>0</v>
      </c>
      <c r="H4">
        <v>1.6706399999999999</v>
      </c>
      <c r="I4">
        <v>0</v>
      </c>
      <c r="J4">
        <v>3.82287</v>
      </c>
      <c r="K4">
        <v>0</v>
      </c>
      <c r="L4">
        <v>0.98</v>
      </c>
      <c r="M4">
        <v>0</v>
      </c>
      <c r="N4">
        <v>0</v>
      </c>
      <c r="O4">
        <v>1.68</v>
      </c>
      <c r="P4">
        <v>2.0193599999999998</v>
      </c>
      <c r="Q4">
        <v>0</v>
      </c>
    </row>
    <row r="5" spans="1:17" x14ac:dyDescent="0.45">
      <c r="A5" s="3">
        <v>4</v>
      </c>
      <c r="B5">
        <v>0</v>
      </c>
      <c r="C5">
        <v>0</v>
      </c>
      <c r="D5">
        <v>3.9125100000000002</v>
      </c>
      <c r="E5">
        <v>0</v>
      </c>
      <c r="F5">
        <v>1.7908500000000001</v>
      </c>
      <c r="G5">
        <v>0</v>
      </c>
      <c r="H5">
        <v>1.5468900000000001</v>
      </c>
      <c r="I5">
        <v>0</v>
      </c>
      <c r="J5">
        <v>3.6281300000000001</v>
      </c>
      <c r="K5">
        <v>0</v>
      </c>
      <c r="L5">
        <v>0.86084799999999995</v>
      </c>
      <c r="M5">
        <v>0</v>
      </c>
      <c r="N5">
        <v>0</v>
      </c>
      <c r="O5">
        <v>1.6758299999999999</v>
      </c>
      <c r="P5">
        <v>1.8748100000000001</v>
      </c>
      <c r="Q5">
        <v>0</v>
      </c>
    </row>
    <row r="6" spans="1:17" x14ac:dyDescent="0.45">
      <c r="A6" s="3">
        <v>5</v>
      </c>
      <c r="B6">
        <v>0.33400000000000002</v>
      </c>
      <c r="C6">
        <v>0</v>
      </c>
      <c r="D6">
        <v>3.91</v>
      </c>
      <c r="E6">
        <v>0</v>
      </c>
      <c r="F6">
        <v>1.93</v>
      </c>
      <c r="G6">
        <v>0</v>
      </c>
      <c r="H6">
        <v>1.758</v>
      </c>
      <c r="I6">
        <v>0</v>
      </c>
      <c r="J6">
        <v>3.77</v>
      </c>
      <c r="K6">
        <v>0</v>
      </c>
      <c r="L6">
        <v>0.99</v>
      </c>
      <c r="M6">
        <v>0</v>
      </c>
      <c r="N6">
        <v>0</v>
      </c>
      <c r="O6">
        <v>1.3440000000000001</v>
      </c>
      <c r="P6">
        <v>2.0219999999999998</v>
      </c>
      <c r="Q6">
        <v>0</v>
      </c>
    </row>
    <row r="7" spans="1:17" x14ac:dyDescent="0.45">
      <c r="A7" s="3">
        <v>6</v>
      </c>
      <c r="B7">
        <v>1.65</v>
      </c>
      <c r="C7">
        <v>0</v>
      </c>
      <c r="D7">
        <v>4.6340000000000003</v>
      </c>
      <c r="E7">
        <v>0</v>
      </c>
      <c r="F7">
        <v>3.02</v>
      </c>
      <c r="G7">
        <v>0</v>
      </c>
      <c r="H7">
        <v>2.9279999999999999</v>
      </c>
      <c r="I7">
        <v>0</v>
      </c>
      <c r="J7">
        <v>4.7160000000000002</v>
      </c>
      <c r="K7">
        <v>0</v>
      </c>
      <c r="L7">
        <v>2.1</v>
      </c>
      <c r="M7">
        <v>0</v>
      </c>
      <c r="N7">
        <v>0.14399999999999999</v>
      </c>
      <c r="O7">
        <v>0</v>
      </c>
      <c r="P7">
        <v>3.0640000000000001</v>
      </c>
      <c r="Q7">
        <v>0</v>
      </c>
    </row>
    <row r="8" spans="1:17" x14ac:dyDescent="0.45">
      <c r="A8" s="3">
        <v>7</v>
      </c>
      <c r="B8">
        <v>3.6120000000000001</v>
      </c>
      <c r="C8">
        <v>0</v>
      </c>
      <c r="D8">
        <v>6.0839999999999996</v>
      </c>
      <c r="E8">
        <v>0</v>
      </c>
      <c r="F8">
        <v>4.8899999999999997</v>
      </c>
      <c r="G8">
        <v>0</v>
      </c>
      <c r="H8">
        <v>4.8920000000000003</v>
      </c>
      <c r="I8">
        <v>0</v>
      </c>
      <c r="J8">
        <v>6.3819999999999997</v>
      </c>
      <c r="K8">
        <v>0</v>
      </c>
      <c r="L8">
        <v>3.9380000000000002</v>
      </c>
      <c r="M8">
        <v>0</v>
      </c>
      <c r="N8">
        <v>2.1960000000000002</v>
      </c>
      <c r="O8">
        <v>0</v>
      </c>
      <c r="P8">
        <v>4.6980000000000004</v>
      </c>
      <c r="Q8">
        <v>0</v>
      </c>
    </row>
    <row r="9" spans="1:17" x14ac:dyDescent="0.45">
      <c r="A9" s="3">
        <v>8</v>
      </c>
      <c r="B9">
        <v>5.7359999999999998</v>
      </c>
      <c r="C9">
        <v>0</v>
      </c>
      <c r="D9">
        <v>7.7480000000000002</v>
      </c>
      <c r="E9">
        <v>0</v>
      </c>
      <c r="F9">
        <v>7.08</v>
      </c>
      <c r="G9">
        <v>0</v>
      </c>
      <c r="H9">
        <v>7.1479999999999997</v>
      </c>
      <c r="I9">
        <v>0</v>
      </c>
      <c r="J9">
        <v>8.3780000000000001</v>
      </c>
      <c r="K9">
        <v>0</v>
      </c>
      <c r="L9">
        <v>5.8639999999999999</v>
      </c>
      <c r="M9">
        <v>0</v>
      </c>
      <c r="N9">
        <v>4.41</v>
      </c>
      <c r="O9">
        <v>0</v>
      </c>
      <c r="P9">
        <v>6.64</v>
      </c>
      <c r="Q9">
        <v>0</v>
      </c>
    </row>
    <row r="10" spans="1:17" x14ac:dyDescent="0.45">
      <c r="A10" s="3">
        <v>9</v>
      </c>
      <c r="B10">
        <v>2.5619999999999998</v>
      </c>
      <c r="C10">
        <v>0</v>
      </c>
      <c r="D10">
        <v>6.6159999999999997</v>
      </c>
      <c r="E10">
        <v>0</v>
      </c>
      <c r="F10">
        <v>4.0199999999999996</v>
      </c>
      <c r="G10">
        <v>0</v>
      </c>
      <c r="H10">
        <v>6.06</v>
      </c>
      <c r="I10">
        <v>0</v>
      </c>
      <c r="J10">
        <v>5.6779999999999999</v>
      </c>
      <c r="K10">
        <v>0</v>
      </c>
      <c r="L10">
        <v>2.944</v>
      </c>
      <c r="M10">
        <v>0</v>
      </c>
      <c r="N10">
        <v>4.47</v>
      </c>
      <c r="O10">
        <v>0</v>
      </c>
      <c r="P10">
        <v>3.528</v>
      </c>
      <c r="Q10">
        <v>0</v>
      </c>
    </row>
    <row r="11" spans="1:17" x14ac:dyDescent="0.45">
      <c r="A11" s="3">
        <v>10</v>
      </c>
      <c r="B11">
        <v>0</v>
      </c>
      <c r="C11">
        <v>0</v>
      </c>
      <c r="D11">
        <v>5.5040800000000001</v>
      </c>
      <c r="E11">
        <v>0</v>
      </c>
      <c r="F11">
        <v>1.7103999999999999</v>
      </c>
      <c r="G11">
        <v>0</v>
      </c>
      <c r="H11">
        <v>5.2603999999999997</v>
      </c>
      <c r="I11">
        <v>0</v>
      </c>
      <c r="J11">
        <v>3.3815200000000001</v>
      </c>
      <c r="K11">
        <v>0</v>
      </c>
      <c r="L11">
        <v>0.49647999999999998</v>
      </c>
      <c r="M11">
        <v>0</v>
      </c>
      <c r="N11">
        <v>4.60928</v>
      </c>
      <c r="O11">
        <v>0</v>
      </c>
      <c r="P11">
        <v>1.40784</v>
      </c>
      <c r="Q11">
        <v>0</v>
      </c>
    </row>
    <row r="12" spans="1:17" x14ac:dyDescent="0.45">
      <c r="A12" s="3">
        <v>11</v>
      </c>
      <c r="B12">
        <v>0</v>
      </c>
      <c r="C12">
        <v>0.39</v>
      </c>
      <c r="D12">
        <v>5.94</v>
      </c>
      <c r="E12">
        <v>0</v>
      </c>
      <c r="F12">
        <v>1.5</v>
      </c>
      <c r="G12">
        <v>0</v>
      </c>
      <c r="H12">
        <v>6.4</v>
      </c>
      <c r="I12">
        <v>0</v>
      </c>
      <c r="J12">
        <v>2.58</v>
      </c>
      <c r="K12">
        <v>0</v>
      </c>
      <c r="L12">
        <v>0.24</v>
      </c>
      <c r="M12">
        <v>0</v>
      </c>
      <c r="N12">
        <v>7.24</v>
      </c>
      <c r="O12">
        <v>0</v>
      </c>
      <c r="P12">
        <v>2.65</v>
      </c>
      <c r="Q12">
        <v>0</v>
      </c>
    </row>
    <row r="13" spans="1:17" x14ac:dyDescent="0.45">
      <c r="A13" s="3">
        <v>12</v>
      </c>
      <c r="B13">
        <v>0</v>
      </c>
      <c r="C13">
        <v>3.05</v>
      </c>
      <c r="D13">
        <v>4.46</v>
      </c>
      <c r="E13">
        <v>0</v>
      </c>
      <c r="F13">
        <v>0</v>
      </c>
      <c r="G13">
        <v>0.79</v>
      </c>
      <c r="H13">
        <v>4.9400000000000004</v>
      </c>
      <c r="I13">
        <v>0</v>
      </c>
      <c r="J13">
        <v>0.49</v>
      </c>
      <c r="K13">
        <v>0</v>
      </c>
      <c r="L13">
        <v>0</v>
      </c>
      <c r="M13">
        <v>2.3199999999999998</v>
      </c>
      <c r="N13">
        <v>6.38</v>
      </c>
      <c r="O13">
        <v>0</v>
      </c>
      <c r="P13">
        <v>2.95</v>
      </c>
      <c r="Q13">
        <v>0</v>
      </c>
    </row>
    <row r="14" spans="1:17" x14ac:dyDescent="0.45">
      <c r="A14" s="3">
        <v>13</v>
      </c>
      <c r="B14">
        <v>0</v>
      </c>
      <c r="C14">
        <v>4.12</v>
      </c>
      <c r="D14">
        <v>4.0999999999999996</v>
      </c>
      <c r="E14">
        <v>0</v>
      </c>
      <c r="F14">
        <v>0</v>
      </c>
      <c r="G14">
        <v>1.57</v>
      </c>
      <c r="H14">
        <v>4.34</v>
      </c>
      <c r="I14">
        <v>0</v>
      </c>
      <c r="J14">
        <v>0</v>
      </c>
      <c r="K14">
        <v>0</v>
      </c>
      <c r="L14">
        <v>0</v>
      </c>
      <c r="M14">
        <v>3.45</v>
      </c>
      <c r="N14">
        <v>5.95</v>
      </c>
      <c r="O14">
        <v>0</v>
      </c>
      <c r="P14">
        <v>6.79</v>
      </c>
      <c r="Q14">
        <v>0</v>
      </c>
    </row>
    <row r="15" spans="1:17" x14ac:dyDescent="0.45">
      <c r="A15" s="3">
        <v>14</v>
      </c>
      <c r="B15">
        <v>0</v>
      </c>
      <c r="C15">
        <v>3.77</v>
      </c>
      <c r="D15">
        <v>4.6399999999999997</v>
      </c>
      <c r="E15">
        <v>0</v>
      </c>
      <c r="F15">
        <v>0</v>
      </c>
      <c r="G15">
        <v>1.1499999999999999</v>
      </c>
      <c r="H15">
        <v>4.8899999999999997</v>
      </c>
      <c r="I15">
        <v>0</v>
      </c>
      <c r="J15">
        <v>0.66</v>
      </c>
      <c r="K15">
        <v>0</v>
      </c>
      <c r="L15">
        <v>0</v>
      </c>
      <c r="M15">
        <v>3.23</v>
      </c>
      <c r="N15">
        <v>6.18</v>
      </c>
      <c r="O15">
        <v>0</v>
      </c>
      <c r="P15">
        <v>11.13</v>
      </c>
      <c r="Q15">
        <v>0</v>
      </c>
    </row>
    <row r="16" spans="1:17" x14ac:dyDescent="0.45">
      <c r="A16" s="3">
        <v>15</v>
      </c>
      <c r="B16">
        <v>0</v>
      </c>
      <c r="C16">
        <v>2.84</v>
      </c>
      <c r="D16">
        <v>5.5259999999999998</v>
      </c>
      <c r="E16">
        <v>0</v>
      </c>
      <c r="F16">
        <v>0</v>
      </c>
      <c r="G16">
        <v>0</v>
      </c>
      <c r="H16">
        <v>6.1340000000000003</v>
      </c>
      <c r="I16">
        <v>0</v>
      </c>
      <c r="J16">
        <v>2.1760000000000002</v>
      </c>
      <c r="K16">
        <v>0</v>
      </c>
      <c r="L16">
        <v>0</v>
      </c>
      <c r="M16">
        <v>2.3679999999999999</v>
      </c>
      <c r="N16">
        <v>6.5579999999999998</v>
      </c>
      <c r="O16">
        <v>0</v>
      </c>
      <c r="P16">
        <v>11.646000000000001</v>
      </c>
      <c r="Q16">
        <v>0</v>
      </c>
    </row>
    <row r="17" spans="1:17" x14ac:dyDescent="0.45">
      <c r="A17" s="3">
        <v>16</v>
      </c>
      <c r="B17">
        <v>0</v>
      </c>
      <c r="C17">
        <v>2.718</v>
      </c>
      <c r="D17">
        <v>5.8239999999999998</v>
      </c>
      <c r="E17">
        <v>0</v>
      </c>
      <c r="F17">
        <v>0.43</v>
      </c>
      <c r="G17">
        <v>0</v>
      </c>
      <c r="H17">
        <v>5.9080000000000004</v>
      </c>
      <c r="I17">
        <v>0</v>
      </c>
      <c r="J17">
        <v>3.226</v>
      </c>
      <c r="K17">
        <v>0</v>
      </c>
      <c r="L17">
        <v>0</v>
      </c>
      <c r="M17">
        <v>2.4079999999999999</v>
      </c>
      <c r="N17">
        <v>4.5620000000000003</v>
      </c>
      <c r="O17">
        <v>0</v>
      </c>
      <c r="P17">
        <v>7.3739999999999997</v>
      </c>
      <c r="Q17">
        <v>0</v>
      </c>
    </row>
    <row r="18" spans="1:17" x14ac:dyDescent="0.45">
      <c r="A18" s="3">
        <v>17</v>
      </c>
      <c r="B18">
        <v>0.68799999999999994</v>
      </c>
      <c r="C18">
        <v>0</v>
      </c>
      <c r="D18">
        <v>8.26</v>
      </c>
      <c r="E18">
        <v>0</v>
      </c>
      <c r="F18">
        <v>4.25</v>
      </c>
      <c r="G18">
        <v>0</v>
      </c>
      <c r="H18">
        <v>8.5500000000000007</v>
      </c>
      <c r="I18">
        <v>0</v>
      </c>
      <c r="J18">
        <v>7</v>
      </c>
      <c r="K18">
        <v>0</v>
      </c>
      <c r="L18">
        <v>0.83</v>
      </c>
      <c r="M18">
        <v>0</v>
      </c>
      <c r="N18">
        <v>5.83</v>
      </c>
      <c r="O18">
        <v>0</v>
      </c>
      <c r="P18">
        <v>6.77</v>
      </c>
      <c r="Q18">
        <v>0</v>
      </c>
    </row>
    <row r="19" spans="1:17" x14ac:dyDescent="0.45">
      <c r="A19" s="3">
        <v>18</v>
      </c>
      <c r="B19">
        <v>4.992</v>
      </c>
      <c r="C19">
        <v>0</v>
      </c>
      <c r="D19">
        <v>10.885999999999999</v>
      </c>
      <c r="E19">
        <v>0</v>
      </c>
      <c r="F19">
        <v>8.6300000000000008</v>
      </c>
      <c r="G19">
        <v>0</v>
      </c>
      <c r="H19">
        <v>11.214</v>
      </c>
      <c r="I19">
        <v>0</v>
      </c>
      <c r="J19">
        <v>11.1</v>
      </c>
      <c r="K19">
        <v>0</v>
      </c>
      <c r="L19">
        <v>4.8520000000000003</v>
      </c>
      <c r="M19">
        <v>0</v>
      </c>
      <c r="N19">
        <v>7.1840000000000002</v>
      </c>
      <c r="O19">
        <v>0</v>
      </c>
      <c r="P19">
        <v>6.89</v>
      </c>
      <c r="Q19">
        <v>0</v>
      </c>
    </row>
    <row r="20" spans="1:17" x14ac:dyDescent="0.45">
      <c r="A20" s="3">
        <v>19</v>
      </c>
      <c r="B20">
        <v>7.9480000000000004</v>
      </c>
      <c r="C20">
        <v>0</v>
      </c>
      <c r="D20">
        <v>12.348000000000001</v>
      </c>
      <c r="E20">
        <v>0</v>
      </c>
      <c r="F20">
        <v>11.49</v>
      </c>
      <c r="G20">
        <v>0</v>
      </c>
      <c r="H20">
        <v>12.374000000000001</v>
      </c>
      <c r="I20">
        <v>0</v>
      </c>
      <c r="J20">
        <v>13.582000000000001</v>
      </c>
      <c r="K20">
        <v>0</v>
      </c>
      <c r="L20">
        <v>7.8440000000000003</v>
      </c>
      <c r="M20">
        <v>0</v>
      </c>
      <c r="N20">
        <v>7.4960000000000004</v>
      </c>
      <c r="O20">
        <v>0</v>
      </c>
      <c r="P20">
        <v>7.718</v>
      </c>
      <c r="Q20">
        <v>0</v>
      </c>
    </row>
    <row r="21" spans="1:17" x14ac:dyDescent="0.45">
      <c r="A21" s="3">
        <v>20</v>
      </c>
      <c r="B21">
        <v>9.0839999999999996</v>
      </c>
      <c r="C21">
        <v>0</v>
      </c>
      <c r="D21">
        <v>12.596</v>
      </c>
      <c r="E21">
        <v>0</v>
      </c>
      <c r="F21">
        <v>12.38</v>
      </c>
      <c r="G21">
        <v>0</v>
      </c>
      <c r="H21">
        <v>12.007999999999999</v>
      </c>
      <c r="I21">
        <v>0</v>
      </c>
      <c r="J21">
        <v>14.096</v>
      </c>
      <c r="K21">
        <v>0</v>
      </c>
      <c r="L21">
        <v>9.1760000000000002</v>
      </c>
      <c r="M21">
        <v>0</v>
      </c>
      <c r="N21">
        <v>6.94</v>
      </c>
      <c r="O21">
        <v>0</v>
      </c>
      <c r="P21">
        <v>8.9740000000000002</v>
      </c>
      <c r="Q21">
        <v>0</v>
      </c>
    </row>
    <row r="22" spans="1:17" x14ac:dyDescent="0.45">
      <c r="A22" s="3">
        <v>21</v>
      </c>
      <c r="B22">
        <v>7.298</v>
      </c>
      <c r="C22">
        <v>0</v>
      </c>
      <c r="D22">
        <v>11.256</v>
      </c>
      <c r="E22">
        <v>0</v>
      </c>
      <c r="F22">
        <v>10.31</v>
      </c>
      <c r="G22">
        <v>0</v>
      </c>
      <c r="H22">
        <v>9.9979999999999993</v>
      </c>
      <c r="I22">
        <v>0</v>
      </c>
      <c r="J22">
        <v>12.108000000000001</v>
      </c>
      <c r="K22">
        <v>0</v>
      </c>
      <c r="L22">
        <v>7.8380000000000001</v>
      </c>
      <c r="M22">
        <v>0</v>
      </c>
      <c r="N22">
        <v>5.28</v>
      </c>
      <c r="O22">
        <v>0</v>
      </c>
      <c r="P22">
        <v>8.0640000000000001</v>
      </c>
      <c r="Q22">
        <v>0</v>
      </c>
    </row>
    <row r="23" spans="1:17" x14ac:dyDescent="0.45">
      <c r="A23" s="3">
        <v>22</v>
      </c>
      <c r="B23">
        <v>5.2960000000000003</v>
      </c>
      <c r="C23">
        <v>0</v>
      </c>
      <c r="D23">
        <v>9.5039999999999996</v>
      </c>
      <c r="E23">
        <v>0</v>
      </c>
      <c r="F23">
        <v>8.11</v>
      </c>
      <c r="G23">
        <v>0</v>
      </c>
      <c r="H23">
        <v>7.8860000000000001</v>
      </c>
      <c r="I23">
        <v>0</v>
      </c>
      <c r="J23">
        <v>10.102</v>
      </c>
      <c r="K23">
        <v>0</v>
      </c>
      <c r="L23">
        <v>6.194</v>
      </c>
      <c r="M23">
        <v>0</v>
      </c>
      <c r="N23">
        <v>3.3479999999999999</v>
      </c>
      <c r="O23">
        <v>0</v>
      </c>
      <c r="P23">
        <v>6.81</v>
      </c>
      <c r="Q23">
        <v>0</v>
      </c>
    </row>
    <row r="24" spans="1:17" x14ac:dyDescent="0.45">
      <c r="A24" s="3">
        <v>23</v>
      </c>
      <c r="B24">
        <v>3.5139999999999998</v>
      </c>
      <c r="C24">
        <v>0</v>
      </c>
      <c r="D24">
        <v>7.72</v>
      </c>
      <c r="E24">
        <v>0</v>
      </c>
      <c r="F24">
        <v>6.01</v>
      </c>
      <c r="G24">
        <v>0</v>
      </c>
      <c r="H24">
        <v>5.8079999999999998</v>
      </c>
      <c r="I24">
        <v>0</v>
      </c>
      <c r="J24">
        <v>8.0039999999999996</v>
      </c>
      <c r="K24">
        <v>0</v>
      </c>
      <c r="L24">
        <v>4.5199999999999996</v>
      </c>
      <c r="M24">
        <v>0</v>
      </c>
      <c r="N24">
        <v>1.5720000000000001</v>
      </c>
      <c r="O24">
        <v>0</v>
      </c>
      <c r="P24">
        <v>5.54</v>
      </c>
      <c r="Q24">
        <v>0</v>
      </c>
    </row>
    <row r="25" spans="1:17" x14ac:dyDescent="0.45">
      <c r="A25" s="3">
        <v>24</v>
      </c>
      <c r="B25">
        <v>1.9139999999999999</v>
      </c>
      <c r="C25">
        <v>0</v>
      </c>
      <c r="D25">
        <v>6.02</v>
      </c>
      <c r="E25">
        <v>0</v>
      </c>
      <c r="F25">
        <v>4.09</v>
      </c>
      <c r="G25">
        <v>0</v>
      </c>
      <c r="H25">
        <v>3.8679999999999999</v>
      </c>
      <c r="I25">
        <v>0</v>
      </c>
      <c r="J25">
        <v>6.0439999999999996</v>
      </c>
      <c r="K25">
        <v>0</v>
      </c>
      <c r="L25">
        <v>2.92</v>
      </c>
      <c r="M25">
        <v>0</v>
      </c>
      <c r="N25">
        <v>0</v>
      </c>
      <c r="O25">
        <v>8.0000000000000002E-3</v>
      </c>
      <c r="P25">
        <v>3.9159999999999999</v>
      </c>
      <c r="Q25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9E8D-8C1B-4BEF-9A2A-0921022A8825}">
  <dimension ref="A1:Y56"/>
  <sheetViews>
    <sheetView topLeftCell="A29" workbookViewId="0">
      <selection activeCell="I32" sqref="I32"/>
    </sheetView>
  </sheetViews>
  <sheetFormatPr defaultRowHeight="14.25" x14ac:dyDescent="0.45"/>
  <sheetData>
    <row r="1" spans="1:25" x14ac:dyDescent="0.45">
      <c r="A1" s="5" t="s">
        <v>0</v>
      </c>
      <c r="B1" s="5"/>
    </row>
    <row r="2" spans="1:25" x14ac:dyDescent="0.45">
      <c r="A2" s="5" t="s">
        <v>439</v>
      </c>
      <c r="B2" s="5"/>
    </row>
    <row r="3" spans="1:25" x14ac:dyDescent="0.45">
      <c r="B3" s="18" t="s">
        <v>469</v>
      </c>
      <c r="C3" s="16"/>
      <c r="D3" s="16"/>
      <c r="F3" s="19" t="s">
        <v>479</v>
      </c>
      <c r="G3" s="20"/>
      <c r="H3" s="20"/>
      <c r="R3" t="s">
        <v>530</v>
      </c>
    </row>
    <row r="4" spans="1:25" x14ac:dyDescent="0.45">
      <c r="B4" s="18" t="s">
        <v>2</v>
      </c>
      <c r="C4" s="16" t="s">
        <v>17</v>
      </c>
      <c r="D4" s="16" t="s">
        <v>18</v>
      </c>
      <c r="F4" s="20" t="s">
        <v>2</v>
      </c>
      <c r="G4" s="20" t="s">
        <v>17</v>
      </c>
      <c r="H4" s="20" t="s">
        <v>18</v>
      </c>
      <c r="Q4" t="s">
        <v>2</v>
      </c>
      <c r="R4" t="s">
        <v>529</v>
      </c>
      <c r="S4" t="s">
        <v>479</v>
      </c>
      <c r="T4" t="s">
        <v>471</v>
      </c>
      <c r="U4" t="s">
        <v>475</v>
      </c>
      <c r="V4" t="s">
        <v>474</v>
      </c>
      <c r="W4" t="s">
        <v>477</v>
      </c>
      <c r="X4" t="s">
        <v>478</v>
      </c>
      <c r="Y4" t="s">
        <v>476</v>
      </c>
    </row>
    <row r="5" spans="1:25" x14ac:dyDescent="0.45">
      <c r="A5" s="14" t="s">
        <v>445</v>
      </c>
      <c r="B5" s="15">
        <v>1</v>
      </c>
      <c r="C5" s="15">
        <v>0</v>
      </c>
      <c r="D5" s="15">
        <v>14</v>
      </c>
      <c r="E5" s="14" t="s">
        <v>481</v>
      </c>
      <c r="F5" s="17">
        <v>1</v>
      </c>
      <c r="G5" s="17">
        <v>0</v>
      </c>
      <c r="H5" s="17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45">
      <c r="A6" s="14" t="s">
        <v>446</v>
      </c>
      <c r="B6" s="15">
        <v>2</v>
      </c>
      <c r="C6" s="15">
        <v>0</v>
      </c>
      <c r="D6" s="15">
        <v>14</v>
      </c>
      <c r="E6" s="14" t="s">
        <v>482</v>
      </c>
      <c r="F6" s="17">
        <v>2</v>
      </c>
      <c r="G6" s="17">
        <v>0</v>
      </c>
      <c r="H6" s="17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45">
      <c r="A7" s="14" t="s">
        <v>496</v>
      </c>
      <c r="B7" s="15">
        <v>3</v>
      </c>
      <c r="C7" s="15">
        <v>0</v>
      </c>
      <c r="D7" s="15">
        <v>13.7234</v>
      </c>
      <c r="E7" s="14" t="s">
        <v>483</v>
      </c>
      <c r="F7" s="17">
        <v>3</v>
      </c>
      <c r="G7" s="17">
        <v>0</v>
      </c>
      <c r="H7" s="1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45">
      <c r="A8" s="14" t="s">
        <v>497</v>
      </c>
      <c r="B8" s="15">
        <v>4</v>
      </c>
      <c r="C8" s="15">
        <v>0</v>
      </c>
      <c r="D8" s="15">
        <v>13.498200000000001</v>
      </c>
      <c r="E8" s="14" t="s">
        <v>484</v>
      </c>
      <c r="F8" s="17">
        <v>4</v>
      </c>
      <c r="G8" s="17">
        <v>0</v>
      </c>
      <c r="H8" s="17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45">
      <c r="A9" s="14" t="s">
        <v>449</v>
      </c>
      <c r="B9" s="15">
        <v>5</v>
      </c>
      <c r="C9" s="15">
        <v>0</v>
      </c>
      <c r="D9" s="15">
        <v>14</v>
      </c>
      <c r="E9" s="14" t="s">
        <v>485</v>
      </c>
      <c r="F9" s="17">
        <v>5</v>
      </c>
      <c r="G9" s="17">
        <v>0</v>
      </c>
      <c r="H9" s="17">
        <v>0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45">
      <c r="A10" s="14" t="s">
        <v>450</v>
      </c>
      <c r="B10" s="15">
        <v>6</v>
      </c>
      <c r="C10" s="15">
        <v>0</v>
      </c>
      <c r="D10" s="15">
        <v>14</v>
      </c>
      <c r="E10" s="14" t="s">
        <v>486</v>
      </c>
      <c r="F10" s="17">
        <v>6</v>
      </c>
      <c r="G10" s="17">
        <v>0</v>
      </c>
      <c r="H10" s="17">
        <v>0</v>
      </c>
      <c r="Q10">
        <v>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45">
      <c r="A11" s="14" t="s">
        <v>451</v>
      </c>
      <c r="B11" s="15">
        <v>7</v>
      </c>
      <c r="C11" s="15">
        <v>0</v>
      </c>
      <c r="D11" s="15">
        <v>14</v>
      </c>
      <c r="E11" s="14" t="s">
        <v>487</v>
      </c>
      <c r="F11" s="17">
        <v>7</v>
      </c>
      <c r="G11" s="17">
        <v>0</v>
      </c>
      <c r="H11" s="17">
        <v>0</v>
      </c>
      <c r="Q11">
        <v>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45">
      <c r="A12" s="14" t="s">
        <v>452</v>
      </c>
      <c r="B12" s="15">
        <v>8</v>
      </c>
      <c r="C12" s="15">
        <v>0</v>
      </c>
      <c r="D12" s="15">
        <v>14</v>
      </c>
      <c r="E12" s="14" t="s">
        <v>488</v>
      </c>
      <c r="F12" s="17">
        <v>8</v>
      </c>
      <c r="G12" s="17">
        <v>0</v>
      </c>
      <c r="H12" s="17">
        <v>0</v>
      </c>
      <c r="Q12">
        <v>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45">
      <c r="A13" s="14" t="s">
        <v>453</v>
      </c>
      <c r="B13" s="15">
        <v>9</v>
      </c>
      <c r="C13" s="15">
        <v>20</v>
      </c>
      <c r="D13" s="15">
        <v>14</v>
      </c>
      <c r="E13" s="14" t="s">
        <v>489</v>
      </c>
      <c r="F13" s="17">
        <v>9</v>
      </c>
      <c r="G13" s="17">
        <v>0</v>
      </c>
      <c r="H13" s="17">
        <v>0</v>
      </c>
      <c r="Q13">
        <v>9</v>
      </c>
      <c r="R13">
        <v>20</v>
      </c>
      <c r="S13">
        <v>0</v>
      </c>
      <c r="T13">
        <v>20</v>
      </c>
      <c r="U13">
        <v>0</v>
      </c>
      <c r="V13">
        <v>20</v>
      </c>
      <c r="W13">
        <v>20</v>
      </c>
      <c r="X13">
        <v>0</v>
      </c>
      <c r="Y13">
        <v>20</v>
      </c>
    </row>
    <row r="14" spans="1:25" x14ac:dyDescent="0.45">
      <c r="A14" s="14" t="s">
        <v>498</v>
      </c>
      <c r="B14" s="15">
        <v>10</v>
      </c>
      <c r="C14" s="15">
        <v>20</v>
      </c>
      <c r="D14" s="15">
        <v>13.04</v>
      </c>
      <c r="E14" s="14" t="s">
        <v>490</v>
      </c>
      <c r="F14" s="17">
        <v>10</v>
      </c>
      <c r="G14" s="17">
        <v>20</v>
      </c>
      <c r="H14" s="17">
        <v>0</v>
      </c>
      <c r="Q14">
        <v>10</v>
      </c>
      <c r="R14">
        <v>20</v>
      </c>
      <c r="S14">
        <v>20</v>
      </c>
      <c r="T14">
        <v>20</v>
      </c>
      <c r="U14">
        <v>20</v>
      </c>
      <c r="V14">
        <v>20</v>
      </c>
      <c r="W14">
        <v>20</v>
      </c>
      <c r="X14">
        <v>20</v>
      </c>
      <c r="Y14">
        <v>20</v>
      </c>
    </row>
    <row r="15" spans="1:25" x14ac:dyDescent="0.45">
      <c r="A15" s="14" t="s">
        <v>499</v>
      </c>
      <c r="B15" s="15">
        <v>11</v>
      </c>
      <c r="C15" s="15">
        <v>19.4315</v>
      </c>
      <c r="D15" s="15">
        <v>0</v>
      </c>
      <c r="E15" s="14" t="s">
        <v>491</v>
      </c>
      <c r="F15" s="17">
        <v>11</v>
      </c>
      <c r="G15" s="17">
        <v>20</v>
      </c>
      <c r="H15" s="17">
        <v>0</v>
      </c>
      <c r="Q15">
        <v>11</v>
      </c>
      <c r="R15">
        <v>19.4315</v>
      </c>
      <c r="S15">
        <v>20</v>
      </c>
      <c r="T15">
        <v>20</v>
      </c>
      <c r="U15">
        <v>20</v>
      </c>
      <c r="V15">
        <v>20</v>
      </c>
      <c r="W15">
        <v>20</v>
      </c>
      <c r="X15">
        <v>20</v>
      </c>
      <c r="Y15">
        <v>20</v>
      </c>
    </row>
    <row r="16" spans="1:25" x14ac:dyDescent="0.45">
      <c r="A16" s="14" t="s">
        <v>500</v>
      </c>
      <c r="B16" s="15">
        <v>12</v>
      </c>
      <c r="C16" s="15">
        <v>16.424399999999999</v>
      </c>
      <c r="D16" s="15">
        <v>0</v>
      </c>
      <c r="E16" s="14" t="s">
        <v>492</v>
      </c>
      <c r="F16" s="17">
        <v>12</v>
      </c>
      <c r="G16" s="17">
        <v>20</v>
      </c>
      <c r="H16" s="17">
        <v>0</v>
      </c>
      <c r="Q16">
        <v>12</v>
      </c>
      <c r="R16">
        <v>16.424399999999999</v>
      </c>
      <c r="S16">
        <v>20</v>
      </c>
      <c r="T16">
        <v>19.0366</v>
      </c>
      <c r="U16">
        <v>20</v>
      </c>
      <c r="V16">
        <v>20</v>
      </c>
      <c r="W16">
        <v>17.081800000000001</v>
      </c>
      <c r="X16">
        <v>20</v>
      </c>
      <c r="Y16">
        <v>20</v>
      </c>
    </row>
    <row r="17" spans="1:25" x14ac:dyDescent="0.45">
      <c r="A17" s="14" t="s">
        <v>501</v>
      </c>
      <c r="B17" s="15">
        <v>13</v>
      </c>
      <c r="C17" s="15">
        <v>15.5983</v>
      </c>
      <c r="D17" s="15">
        <v>0</v>
      </c>
      <c r="E17" s="14" t="s">
        <v>493</v>
      </c>
      <c r="F17" s="17">
        <v>13</v>
      </c>
      <c r="G17" s="17">
        <v>20</v>
      </c>
      <c r="H17" s="17">
        <v>0</v>
      </c>
      <c r="Q17">
        <v>13</v>
      </c>
      <c r="R17">
        <v>15.5983</v>
      </c>
      <c r="S17">
        <v>20</v>
      </c>
      <c r="T17">
        <v>18.255600000000001</v>
      </c>
      <c r="U17">
        <v>20</v>
      </c>
      <c r="V17">
        <v>20</v>
      </c>
      <c r="W17">
        <v>16.048100000000002</v>
      </c>
      <c r="X17">
        <v>20</v>
      </c>
      <c r="Y17">
        <v>20</v>
      </c>
    </row>
    <row r="18" spans="1:25" x14ac:dyDescent="0.45">
      <c r="A18" s="14" t="s">
        <v>502</v>
      </c>
      <c r="B18" s="15">
        <v>14</v>
      </c>
      <c r="C18" s="15">
        <v>16.023199999999999</v>
      </c>
      <c r="D18" s="15">
        <v>0</v>
      </c>
      <c r="E18" s="14" t="s">
        <v>494</v>
      </c>
      <c r="F18" s="17">
        <v>14</v>
      </c>
      <c r="G18" s="17">
        <v>20</v>
      </c>
      <c r="H18" s="17">
        <v>14</v>
      </c>
      <c r="Q18">
        <v>14</v>
      </c>
      <c r="R18">
        <v>16.023199999999999</v>
      </c>
      <c r="S18">
        <v>20</v>
      </c>
      <c r="T18">
        <v>18.75</v>
      </c>
      <c r="U18">
        <v>20</v>
      </c>
      <c r="V18">
        <v>20</v>
      </c>
      <c r="W18">
        <v>16.341999999999999</v>
      </c>
      <c r="X18">
        <v>20</v>
      </c>
      <c r="Y18">
        <v>20</v>
      </c>
    </row>
    <row r="19" spans="1:25" x14ac:dyDescent="0.45">
      <c r="A19" s="14" t="s">
        <v>503</v>
      </c>
      <c r="B19" s="15">
        <v>15</v>
      </c>
      <c r="C19" s="15">
        <v>17.306799999999999</v>
      </c>
      <c r="D19" s="15">
        <v>0</v>
      </c>
      <c r="E19" s="14" t="s">
        <v>459</v>
      </c>
      <c r="F19" s="17">
        <v>15</v>
      </c>
      <c r="G19" s="17">
        <v>20</v>
      </c>
      <c r="H19" s="17">
        <v>14</v>
      </c>
      <c r="Q19">
        <v>15</v>
      </c>
      <c r="R19">
        <v>17.306799999999999</v>
      </c>
      <c r="S19">
        <v>20</v>
      </c>
      <c r="T19">
        <v>20</v>
      </c>
      <c r="U19">
        <v>20</v>
      </c>
      <c r="V19">
        <v>20</v>
      </c>
      <c r="W19">
        <v>17.631599999999999</v>
      </c>
      <c r="X19">
        <v>20</v>
      </c>
      <c r="Y19">
        <v>20</v>
      </c>
    </row>
    <row r="20" spans="1:25" x14ac:dyDescent="0.45">
      <c r="A20" s="14" t="s">
        <v>504</v>
      </c>
      <c r="B20" s="15">
        <v>16</v>
      </c>
      <c r="C20" s="15">
        <v>20</v>
      </c>
      <c r="D20" s="15">
        <v>2.7686000000000002</v>
      </c>
      <c r="E20" s="14" t="s">
        <v>460</v>
      </c>
      <c r="F20" s="17">
        <v>16</v>
      </c>
      <c r="G20" s="17">
        <v>20</v>
      </c>
      <c r="H20" s="17">
        <v>14</v>
      </c>
      <c r="Q20">
        <v>16</v>
      </c>
      <c r="R20">
        <v>20</v>
      </c>
      <c r="S20">
        <v>20</v>
      </c>
      <c r="T20">
        <v>20</v>
      </c>
      <c r="U20">
        <v>20</v>
      </c>
      <c r="V20">
        <v>20</v>
      </c>
      <c r="W20">
        <v>20</v>
      </c>
      <c r="X20">
        <v>20</v>
      </c>
      <c r="Y20">
        <v>20</v>
      </c>
    </row>
    <row r="21" spans="1:25" x14ac:dyDescent="0.45">
      <c r="A21" s="14" t="s">
        <v>461</v>
      </c>
      <c r="B21" s="15">
        <v>17</v>
      </c>
      <c r="C21" s="15">
        <v>20</v>
      </c>
      <c r="D21" s="15">
        <v>14</v>
      </c>
      <c r="E21" s="14" t="s">
        <v>461</v>
      </c>
      <c r="F21" s="17">
        <v>17</v>
      </c>
      <c r="G21" s="17">
        <v>20</v>
      </c>
      <c r="H21" s="17">
        <v>14</v>
      </c>
      <c r="Q21">
        <v>17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</row>
    <row r="22" spans="1:25" x14ac:dyDescent="0.45">
      <c r="A22" s="14" t="s">
        <v>462</v>
      </c>
      <c r="B22" s="15">
        <v>18</v>
      </c>
      <c r="C22" s="15">
        <v>20</v>
      </c>
      <c r="D22" s="15">
        <v>14</v>
      </c>
      <c r="E22" s="14" t="s">
        <v>462</v>
      </c>
      <c r="F22" s="17">
        <v>18</v>
      </c>
      <c r="G22" s="17">
        <v>20</v>
      </c>
      <c r="H22" s="17">
        <v>14</v>
      </c>
      <c r="Q22">
        <v>18</v>
      </c>
      <c r="R22">
        <v>20</v>
      </c>
      <c r="S22">
        <v>20</v>
      </c>
      <c r="T22">
        <v>20</v>
      </c>
      <c r="U22">
        <v>20</v>
      </c>
      <c r="V22">
        <v>20</v>
      </c>
      <c r="W22">
        <v>20</v>
      </c>
      <c r="X22">
        <v>20</v>
      </c>
      <c r="Y22">
        <v>20</v>
      </c>
    </row>
    <row r="23" spans="1:25" x14ac:dyDescent="0.45">
      <c r="A23" s="14" t="s">
        <v>463</v>
      </c>
      <c r="B23" s="15">
        <v>19</v>
      </c>
      <c r="C23" s="15">
        <v>20</v>
      </c>
      <c r="D23" s="15">
        <v>14</v>
      </c>
      <c r="E23" s="14" t="s">
        <v>495</v>
      </c>
      <c r="F23" s="17">
        <v>19</v>
      </c>
      <c r="G23" s="17">
        <v>0</v>
      </c>
      <c r="H23" s="17">
        <v>14</v>
      </c>
      <c r="Q23">
        <v>19</v>
      </c>
      <c r="R23">
        <v>20</v>
      </c>
      <c r="S23">
        <v>0</v>
      </c>
      <c r="T23">
        <v>20</v>
      </c>
      <c r="U23">
        <v>20</v>
      </c>
      <c r="V23">
        <v>20</v>
      </c>
      <c r="W23">
        <v>20</v>
      </c>
      <c r="X23">
        <v>0</v>
      </c>
      <c r="Y23">
        <v>20</v>
      </c>
    </row>
    <row r="24" spans="1:25" x14ac:dyDescent="0.45">
      <c r="A24" s="14" t="s">
        <v>464</v>
      </c>
      <c r="B24" s="15">
        <v>20</v>
      </c>
      <c r="C24" s="15">
        <v>0</v>
      </c>
      <c r="D24" s="15">
        <v>14</v>
      </c>
      <c r="E24" s="14" t="s">
        <v>464</v>
      </c>
      <c r="F24" s="17">
        <v>20</v>
      </c>
      <c r="G24" s="17">
        <v>0</v>
      </c>
      <c r="H24" s="17">
        <v>14</v>
      </c>
      <c r="Q24">
        <v>20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45">
      <c r="A25" s="14" t="s">
        <v>465</v>
      </c>
      <c r="B25" s="15">
        <v>21</v>
      </c>
      <c r="C25" s="15">
        <v>0</v>
      </c>
      <c r="D25" s="15">
        <v>14</v>
      </c>
      <c r="E25" s="14" t="s">
        <v>465</v>
      </c>
      <c r="F25" s="17">
        <v>21</v>
      </c>
      <c r="G25" s="17">
        <v>0</v>
      </c>
      <c r="H25" s="17">
        <v>14</v>
      </c>
      <c r="Q25">
        <v>21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45">
      <c r="A26" s="14" t="s">
        <v>466</v>
      </c>
      <c r="B26" s="15">
        <v>22</v>
      </c>
      <c r="C26" s="15">
        <v>0</v>
      </c>
      <c r="D26" s="15">
        <v>14</v>
      </c>
      <c r="E26" s="14" t="s">
        <v>466</v>
      </c>
      <c r="F26" s="17">
        <v>22</v>
      </c>
      <c r="G26" s="17">
        <v>0</v>
      </c>
      <c r="H26" s="17">
        <v>14</v>
      </c>
      <c r="Q26">
        <v>22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45">
      <c r="A27" s="14" t="s">
        <v>467</v>
      </c>
      <c r="B27" s="15">
        <v>23</v>
      </c>
      <c r="C27" s="15">
        <v>0</v>
      </c>
      <c r="D27" s="15">
        <v>14</v>
      </c>
      <c r="E27" s="14" t="s">
        <v>467</v>
      </c>
      <c r="F27" s="17">
        <v>23</v>
      </c>
      <c r="G27" s="17">
        <v>0</v>
      </c>
      <c r="H27" s="17">
        <v>14</v>
      </c>
      <c r="Q27">
        <v>23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45">
      <c r="A28" s="14" t="s">
        <v>468</v>
      </c>
      <c r="B28" s="15">
        <v>24</v>
      </c>
      <c r="C28" s="15">
        <v>0</v>
      </c>
      <c r="D28" s="15">
        <v>14</v>
      </c>
      <c r="E28" s="14" t="s">
        <v>468</v>
      </c>
      <c r="F28" s="17">
        <v>24</v>
      </c>
      <c r="G28" s="17">
        <v>0</v>
      </c>
      <c r="H28" s="17">
        <v>14</v>
      </c>
      <c r="Q28">
        <v>24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31" spans="1:25" x14ac:dyDescent="0.45">
      <c r="R31" t="s">
        <v>531</v>
      </c>
    </row>
    <row r="32" spans="1:25" x14ac:dyDescent="0.45">
      <c r="Q32" t="s">
        <v>2</v>
      </c>
      <c r="R32" t="s">
        <v>529</v>
      </c>
      <c r="S32" t="s">
        <v>479</v>
      </c>
      <c r="T32" t="s">
        <v>471</v>
      </c>
      <c r="U32" t="s">
        <v>475</v>
      </c>
      <c r="V32" t="s">
        <v>474</v>
      </c>
      <c r="W32" t="s">
        <v>477</v>
      </c>
      <c r="X32" t="s">
        <v>478</v>
      </c>
      <c r="Y32" t="s">
        <v>476</v>
      </c>
    </row>
    <row r="33" spans="17:25" x14ac:dyDescent="0.45">
      <c r="Q33">
        <v>1</v>
      </c>
      <c r="R33">
        <v>14</v>
      </c>
      <c r="S33">
        <v>0</v>
      </c>
      <c r="T33">
        <v>14</v>
      </c>
      <c r="U33">
        <v>14</v>
      </c>
      <c r="V33">
        <v>0</v>
      </c>
      <c r="W33">
        <v>14</v>
      </c>
      <c r="X33">
        <v>12.257099999999999</v>
      </c>
      <c r="Y33">
        <v>14</v>
      </c>
    </row>
    <row r="34" spans="17:25" x14ac:dyDescent="0.45">
      <c r="Q34">
        <v>2</v>
      </c>
      <c r="R34">
        <v>14</v>
      </c>
      <c r="S34">
        <v>0</v>
      </c>
      <c r="T34">
        <v>14</v>
      </c>
      <c r="U34">
        <v>14</v>
      </c>
      <c r="V34">
        <v>0</v>
      </c>
      <c r="W34">
        <v>14</v>
      </c>
      <c r="X34">
        <v>11.5467</v>
      </c>
      <c r="Y34">
        <v>14</v>
      </c>
    </row>
    <row r="35" spans="17:25" x14ac:dyDescent="0.45">
      <c r="Q35">
        <v>3</v>
      </c>
      <c r="R35">
        <v>13.7234</v>
      </c>
      <c r="S35">
        <v>0</v>
      </c>
      <c r="T35">
        <v>14</v>
      </c>
      <c r="U35">
        <v>14</v>
      </c>
      <c r="V35">
        <v>0</v>
      </c>
      <c r="W35">
        <v>14</v>
      </c>
      <c r="X35">
        <v>11.170199999999999</v>
      </c>
      <c r="Y35">
        <v>14</v>
      </c>
    </row>
    <row r="36" spans="17:25" x14ac:dyDescent="0.45">
      <c r="Q36">
        <v>4</v>
      </c>
      <c r="R36">
        <v>13.498200000000001</v>
      </c>
      <c r="S36">
        <v>0</v>
      </c>
      <c r="T36">
        <v>14</v>
      </c>
      <c r="U36">
        <v>14</v>
      </c>
      <c r="V36">
        <v>0</v>
      </c>
      <c r="W36">
        <v>14</v>
      </c>
      <c r="X36">
        <v>10.966799999999999</v>
      </c>
      <c r="Y36">
        <v>14</v>
      </c>
    </row>
    <row r="37" spans="17:25" x14ac:dyDescent="0.45">
      <c r="Q37">
        <v>5</v>
      </c>
      <c r="R37">
        <v>14</v>
      </c>
      <c r="S37">
        <v>0</v>
      </c>
      <c r="T37">
        <v>14</v>
      </c>
      <c r="U37">
        <v>14</v>
      </c>
      <c r="V37">
        <v>0</v>
      </c>
      <c r="W37">
        <v>14</v>
      </c>
      <c r="X37">
        <v>11.835699999999999</v>
      </c>
      <c r="Y37">
        <v>14</v>
      </c>
    </row>
    <row r="38" spans="17:25" x14ac:dyDescent="0.45">
      <c r="Q38">
        <v>6</v>
      </c>
      <c r="R38">
        <v>14</v>
      </c>
      <c r="S38">
        <v>0</v>
      </c>
      <c r="T38">
        <v>14</v>
      </c>
      <c r="U38">
        <v>14</v>
      </c>
      <c r="V38">
        <v>0</v>
      </c>
      <c r="W38">
        <v>14</v>
      </c>
      <c r="X38">
        <v>14</v>
      </c>
      <c r="Y38">
        <v>14</v>
      </c>
    </row>
    <row r="39" spans="17:25" x14ac:dyDescent="0.45">
      <c r="Q39">
        <v>7</v>
      </c>
      <c r="R39">
        <v>14</v>
      </c>
      <c r="S39">
        <v>0</v>
      </c>
      <c r="T39">
        <v>14</v>
      </c>
      <c r="U39">
        <v>14</v>
      </c>
      <c r="V39">
        <v>0</v>
      </c>
      <c r="W39">
        <v>14</v>
      </c>
      <c r="X39">
        <v>14</v>
      </c>
      <c r="Y39">
        <v>14</v>
      </c>
    </row>
    <row r="40" spans="17:25" x14ac:dyDescent="0.45">
      <c r="Q40">
        <v>8</v>
      </c>
      <c r="R40">
        <v>14</v>
      </c>
      <c r="S40">
        <v>0</v>
      </c>
      <c r="T40">
        <v>14</v>
      </c>
      <c r="U40">
        <v>14</v>
      </c>
      <c r="V40">
        <v>0</v>
      </c>
      <c r="W40">
        <v>14</v>
      </c>
      <c r="X40">
        <v>14</v>
      </c>
      <c r="Y40">
        <v>14</v>
      </c>
    </row>
    <row r="41" spans="17:25" x14ac:dyDescent="0.45">
      <c r="Q41">
        <v>9</v>
      </c>
      <c r="R41">
        <v>14</v>
      </c>
      <c r="S41">
        <v>0</v>
      </c>
      <c r="T41">
        <v>14</v>
      </c>
      <c r="U41">
        <v>14</v>
      </c>
      <c r="V41">
        <v>0</v>
      </c>
      <c r="W41">
        <v>14</v>
      </c>
      <c r="X41">
        <v>14</v>
      </c>
      <c r="Y41">
        <v>14</v>
      </c>
    </row>
    <row r="42" spans="17:25" x14ac:dyDescent="0.45">
      <c r="Q42">
        <v>10</v>
      </c>
      <c r="R42">
        <v>13.04</v>
      </c>
      <c r="S42">
        <v>0</v>
      </c>
      <c r="T42">
        <v>14</v>
      </c>
      <c r="U42">
        <v>14</v>
      </c>
      <c r="V42">
        <v>0</v>
      </c>
      <c r="W42">
        <v>14</v>
      </c>
      <c r="X42">
        <v>14</v>
      </c>
      <c r="Y42">
        <v>14</v>
      </c>
    </row>
    <row r="43" spans="17:25" x14ac:dyDescent="0.45">
      <c r="Q43">
        <v>11</v>
      </c>
      <c r="R43">
        <v>0</v>
      </c>
      <c r="S43">
        <v>0</v>
      </c>
      <c r="T43">
        <v>7.1428599999999998</v>
      </c>
      <c r="U43">
        <v>14</v>
      </c>
      <c r="V43">
        <v>0</v>
      </c>
      <c r="W43">
        <v>1.14286</v>
      </c>
      <c r="X43">
        <v>14</v>
      </c>
      <c r="Y43">
        <v>11.4719</v>
      </c>
    </row>
    <row r="44" spans="17:25" x14ac:dyDescent="0.45">
      <c r="Q44">
        <v>12</v>
      </c>
      <c r="R44">
        <v>0</v>
      </c>
      <c r="S44">
        <v>0</v>
      </c>
      <c r="T44">
        <v>0</v>
      </c>
      <c r="U44">
        <v>14</v>
      </c>
      <c r="V44">
        <v>0</v>
      </c>
      <c r="W44">
        <v>0</v>
      </c>
      <c r="X44">
        <v>14</v>
      </c>
      <c r="Y44">
        <v>13.5321</v>
      </c>
    </row>
    <row r="45" spans="17:25" x14ac:dyDescent="0.45">
      <c r="Q45">
        <v>13</v>
      </c>
      <c r="R45">
        <v>0</v>
      </c>
      <c r="S45">
        <v>0</v>
      </c>
      <c r="T45">
        <v>0</v>
      </c>
      <c r="U45">
        <v>14</v>
      </c>
      <c r="V45">
        <v>0</v>
      </c>
      <c r="W45">
        <v>0</v>
      </c>
      <c r="X45">
        <v>14</v>
      </c>
      <c r="Y45">
        <v>14</v>
      </c>
    </row>
    <row r="46" spans="17:25" x14ac:dyDescent="0.45">
      <c r="Q46">
        <v>14</v>
      </c>
      <c r="R46">
        <v>0</v>
      </c>
      <c r="S46">
        <v>14</v>
      </c>
      <c r="T46">
        <v>0</v>
      </c>
      <c r="U46">
        <v>14</v>
      </c>
      <c r="V46">
        <v>4.45946</v>
      </c>
      <c r="W46">
        <v>0</v>
      </c>
      <c r="X46">
        <v>14</v>
      </c>
      <c r="Y46">
        <v>14</v>
      </c>
    </row>
    <row r="47" spans="17:25" x14ac:dyDescent="0.45">
      <c r="Q47">
        <v>15</v>
      </c>
      <c r="R47">
        <v>0</v>
      </c>
      <c r="S47">
        <v>14</v>
      </c>
      <c r="T47">
        <v>2</v>
      </c>
      <c r="U47">
        <v>14</v>
      </c>
      <c r="V47">
        <v>14</v>
      </c>
      <c r="W47">
        <v>0</v>
      </c>
      <c r="X47">
        <v>14</v>
      </c>
      <c r="Y47">
        <v>14</v>
      </c>
    </row>
    <row r="48" spans="17:25" x14ac:dyDescent="0.45">
      <c r="Q48">
        <v>16</v>
      </c>
      <c r="R48">
        <v>2.7686000000000002</v>
      </c>
      <c r="S48">
        <v>14</v>
      </c>
      <c r="T48">
        <v>14</v>
      </c>
      <c r="U48">
        <v>14</v>
      </c>
      <c r="V48">
        <v>14</v>
      </c>
      <c r="W48">
        <v>3.3920699999999999</v>
      </c>
      <c r="X48">
        <v>14</v>
      </c>
      <c r="Y48">
        <v>14</v>
      </c>
    </row>
    <row r="49" spans="17:25" x14ac:dyDescent="0.45">
      <c r="Q49">
        <v>17</v>
      </c>
      <c r="R49">
        <v>14</v>
      </c>
      <c r="S49">
        <v>14</v>
      </c>
      <c r="T49">
        <v>14</v>
      </c>
      <c r="U49">
        <v>14</v>
      </c>
      <c r="V49">
        <v>14</v>
      </c>
      <c r="W49">
        <v>14</v>
      </c>
      <c r="X49">
        <v>14</v>
      </c>
      <c r="Y49">
        <v>14</v>
      </c>
    </row>
    <row r="50" spans="17:25" x14ac:dyDescent="0.45">
      <c r="Q50">
        <v>18</v>
      </c>
      <c r="R50">
        <v>14</v>
      </c>
      <c r="S50">
        <v>14</v>
      </c>
      <c r="T50">
        <v>14</v>
      </c>
      <c r="U50">
        <v>14</v>
      </c>
      <c r="V50">
        <v>14</v>
      </c>
      <c r="W50">
        <v>14</v>
      </c>
      <c r="X50">
        <v>14</v>
      </c>
      <c r="Y50">
        <v>14</v>
      </c>
    </row>
    <row r="51" spans="17:25" x14ac:dyDescent="0.45">
      <c r="Q51">
        <v>19</v>
      </c>
      <c r="R51">
        <v>14</v>
      </c>
      <c r="S51">
        <v>14</v>
      </c>
      <c r="T51">
        <v>14</v>
      </c>
      <c r="U51">
        <v>14</v>
      </c>
      <c r="V51">
        <v>14</v>
      </c>
      <c r="W51">
        <v>14</v>
      </c>
      <c r="X51">
        <v>14</v>
      </c>
      <c r="Y51">
        <v>14</v>
      </c>
    </row>
    <row r="52" spans="17:25" x14ac:dyDescent="0.45">
      <c r="Q52">
        <v>20</v>
      </c>
      <c r="R52">
        <v>14</v>
      </c>
      <c r="S52">
        <v>14</v>
      </c>
      <c r="T52">
        <v>14</v>
      </c>
      <c r="U52">
        <v>14</v>
      </c>
      <c r="V52">
        <v>14</v>
      </c>
      <c r="W52">
        <v>14</v>
      </c>
      <c r="X52">
        <v>14</v>
      </c>
      <c r="Y52">
        <v>14</v>
      </c>
    </row>
    <row r="53" spans="17:25" x14ac:dyDescent="0.45">
      <c r="Q53">
        <v>21</v>
      </c>
      <c r="R53">
        <v>14</v>
      </c>
      <c r="S53">
        <v>14</v>
      </c>
      <c r="T53">
        <v>14</v>
      </c>
      <c r="U53">
        <v>14</v>
      </c>
      <c r="V53">
        <v>14</v>
      </c>
      <c r="W53">
        <v>14</v>
      </c>
      <c r="X53">
        <v>14</v>
      </c>
      <c r="Y53">
        <v>14</v>
      </c>
    </row>
    <row r="54" spans="17:25" x14ac:dyDescent="0.45">
      <c r="Q54">
        <v>22</v>
      </c>
      <c r="R54">
        <v>14</v>
      </c>
      <c r="S54">
        <v>14</v>
      </c>
      <c r="T54">
        <v>14</v>
      </c>
      <c r="U54">
        <v>14</v>
      </c>
      <c r="V54">
        <v>14</v>
      </c>
      <c r="W54">
        <v>14</v>
      </c>
      <c r="X54">
        <v>14</v>
      </c>
      <c r="Y54">
        <v>14</v>
      </c>
    </row>
    <row r="55" spans="17:25" x14ac:dyDescent="0.45">
      <c r="Q55">
        <v>23</v>
      </c>
      <c r="R55">
        <v>14</v>
      </c>
      <c r="S55">
        <v>14</v>
      </c>
      <c r="T55">
        <v>14</v>
      </c>
      <c r="U55">
        <v>14</v>
      </c>
      <c r="V55">
        <v>14</v>
      </c>
      <c r="W55">
        <v>14</v>
      </c>
      <c r="X55">
        <v>14</v>
      </c>
      <c r="Y55">
        <v>14</v>
      </c>
    </row>
    <row r="56" spans="17:25" x14ac:dyDescent="0.45">
      <c r="Q56">
        <v>24</v>
      </c>
      <c r="R56">
        <v>14</v>
      </c>
      <c r="S56">
        <v>14</v>
      </c>
      <c r="T56">
        <v>14</v>
      </c>
      <c r="U56">
        <v>14</v>
      </c>
      <c r="V56">
        <v>14</v>
      </c>
      <c r="W56">
        <v>14</v>
      </c>
      <c r="X56">
        <v>13.9877</v>
      </c>
      <c r="Y56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F562-1902-4997-A30F-AA6BF4AEDDED}">
  <dimension ref="A1:R39"/>
  <sheetViews>
    <sheetView topLeftCell="I1" workbookViewId="0">
      <selection activeCell="N4" sqref="N4"/>
    </sheetView>
  </sheetViews>
  <sheetFormatPr defaultRowHeight="14.25" x14ac:dyDescent="0.45"/>
  <cols>
    <col min="10" max="16" width="9.06640625" customWidth="1"/>
  </cols>
  <sheetData>
    <row r="1" spans="1:18" ht="26.65" x14ac:dyDescent="0.45">
      <c r="A1" s="2" t="s">
        <v>0</v>
      </c>
      <c r="D1" s="10"/>
    </row>
    <row r="2" spans="1:18" x14ac:dyDescent="0.45">
      <c r="A2" s="4" t="s">
        <v>441</v>
      </c>
    </row>
    <row r="3" spans="1:18" x14ac:dyDescent="0.45">
      <c r="A3" s="4" t="s">
        <v>442</v>
      </c>
    </row>
    <row r="4" spans="1:18" x14ac:dyDescent="0.45">
      <c r="B4" s="15" t="s">
        <v>469</v>
      </c>
      <c r="C4" s="10"/>
      <c r="D4" s="15" t="s">
        <v>479</v>
      </c>
      <c r="E4" s="10"/>
      <c r="F4" s="15" t="s">
        <v>471</v>
      </c>
      <c r="G4" s="10"/>
      <c r="H4" s="15" t="s">
        <v>475</v>
      </c>
      <c r="I4" s="10"/>
      <c r="J4" s="15" t="s">
        <v>474</v>
      </c>
      <c r="K4" s="10"/>
      <c r="L4" s="15" t="s">
        <v>477</v>
      </c>
      <c r="M4" s="10"/>
      <c r="N4" s="15" t="s">
        <v>478</v>
      </c>
      <c r="O4" s="10"/>
      <c r="P4" s="15" t="s">
        <v>476</v>
      </c>
      <c r="Q4" s="10"/>
      <c r="R4" s="10"/>
    </row>
    <row r="5" spans="1:18" x14ac:dyDescent="0.45">
      <c r="A5" t="s">
        <v>2</v>
      </c>
      <c r="B5" t="s">
        <v>480</v>
      </c>
      <c r="C5" t="s">
        <v>423</v>
      </c>
      <c r="D5" t="s">
        <v>424</v>
      </c>
      <c r="E5" t="s">
        <v>425</v>
      </c>
      <c r="F5" t="s">
        <v>426</v>
      </c>
      <c r="G5" t="s">
        <v>427</v>
      </c>
      <c r="H5" t="s">
        <v>428</v>
      </c>
      <c r="I5" t="s">
        <v>429</v>
      </c>
      <c r="J5" t="s">
        <v>430</v>
      </c>
      <c r="K5" t="s">
        <v>431</v>
      </c>
      <c r="L5" t="s">
        <v>432</v>
      </c>
      <c r="M5" t="s">
        <v>433</v>
      </c>
      <c r="N5" t="s">
        <v>434</v>
      </c>
      <c r="O5" t="s">
        <v>435</v>
      </c>
      <c r="P5" t="s">
        <v>436</v>
      </c>
      <c r="Q5" t="s">
        <v>437</v>
      </c>
    </row>
    <row r="6" spans="1:18" x14ac:dyDescent="0.45">
      <c r="A6">
        <v>1</v>
      </c>
      <c r="B6">
        <v>0.71199999999999997</v>
      </c>
      <c r="C6">
        <v>0</v>
      </c>
      <c r="D6">
        <v>8.4</v>
      </c>
      <c r="E6">
        <v>0</v>
      </c>
      <c r="F6">
        <v>2.74</v>
      </c>
      <c r="G6">
        <v>0</v>
      </c>
      <c r="H6">
        <v>2.5219999999999998</v>
      </c>
      <c r="I6">
        <v>0</v>
      </c>
      <c r="J6">
        <v>9.07</v>
      </c>
      <c r="K6">
        <v>0</v>
      </c>
      <c r="L6">
        <v>1.74</v>
      </c>
      <c r="M6">
        <v>0</v>
      </c>
      <c r="N6">
        <v>0</v>
      </c>
      <c r="O6">
        <v>0</v>
      </c>
      <c r="P6">
        <v>2.798</v>
      </c>
      <c r="Q6">
        <v>0</v>
      </c>
    </row>
    <row r="7" spans="1:18" x14ac:dyDescent="0.45">
      <c r="A7">
        <v>2</v>
      </c>
      <c r="B7">
        <v>8.5999999999999993E-2</v>
      </c>
      <c r="C7">
        <v>0</v>
      </c>
      <c r="D7">
        <v>8.1</v>
      </c>
      <c r="E7">
        <v>0</v>
      </c>
      <c r="F7">
        <v>2.15</v>
      </c>
      <c r="G7">
        <v>0</v>
      </c>
      <c r="H7">
        <v>1.9079999999999999</v>
      </c>
      <c r="I7">
        <v>0</v>
      </c>
      <c r="J7">
        <v>8.75</v>
      </c>
      <c r="K7">
        <v>0</v>
      </c>
      <c r="L7">
        <v>1.18</v>
      </c>
      <c r="M7">
        <v>0</v>
      </c>
      <c r="N7">
        <v>0</v>
      </c>
      <c r="O7">
        <v>0</v>
      </c>
      <c r="P7">
        <v>2.222</v>
      </c>
      <c r="Q7">
        <v>0</v>
      </c>
    </row>
    <row r="8" spans="1:18" x14ac:dyDescent="0.45">
      <c r="A8">
        <v>3</v>
      </c>
      <c r="B8">
        <v>0</v>
      </c>
      <c r="C8">
        <v>0</v>
      </c>
      <c r="D8">
        <v>7.9</v>
      </c>
      <c r="E8">
        <v>0</v>
      </c>
      <c r="F8">
        <v>1.79</v>
      </c>
      <c r="G8">
        <v>0</v>
      </c>
      <c r="H8">
        <v>1.534</v>
      </c>
      <c r="I8">
        <v>0</v>
      </c>
      <c r="J8">
        <v>8.5299999999999994</v>
      </c>
      <c r="K8">
        <v>0</v>
      </c>
      <c r="L8">
        <v>0.85</v>
      </c>
      <c r="M8">
        <v>0</v>
      </c>
      <c r="N8">
        <v>0</v>
      </c>
      <c r="O8">
        <v>0</v>
      </c>
      <c r="P8">
        <v>1.8959999999999999</v>
      </c>
      <c r="Q8">
        <v>0</v>
      </c>
    </row>
    <row r="9" spans="1:18" x14ac:dyDescent="0.45">
      <c r="A9">
        <v>4</v>
      </c>
      <c r="B9">
        <v>0</v>
      </c>
      <c r="C9">
        <v>0</v>
      </c>
      <c r="D9">
        <v>7.8</v>
      </c>
      <c r="E9">
        <v>0</v>
      </c>
      <c r="F9">
        <v>1.55</v>
      </c>
      <c r="G9">
        <v>0</v>
      </c>
      <c r="H9">
        <v>1.294</v>
      </c>
      <c r="I9">
        <v>0</v>
      </c>
      <c r="J9">
        <v>8.42</v>
      </c>
      <c r="K9">
        <v>0</v>
      </c>
      <c r="L9">
        <v>0.62</v>
      </c>
      <c r="M9">
        <v>0</v>
      </c>
      <c r="N9">
        <v>0</v>
      </c>
      <c r="O9">
        <v>0</v>
      </c>
      <c r="P9">
        <v>1.6459999999999999</v>
      </c>
      <c r="Q9">
        <v>0</v>
      </c>
    </row>
    <row r="10" spans="1:18" x14ac:dyDescent="0.45">
      <c r="A10">
        <v>5</v>
      </c>
      <c r="B10">
        <v>0.33400000000000002</v>
      </c>
      <c r="C10">
        <v>0</v>
      </c>
      <c r="D10">
        <v>7.9</v>
      </c>
      <c r="E10">
        <v>0</v>
      </c>
      <c r="F10">
        <v>1.93</v>
      </c>
      <c r="G10">
        <v>0</v>
      </c>
      <c r="H10">
        <v>1.758</v>
      </c>
      <c r="I10">
        <v>0</v>
      </c>
      <c r="J10">
        <v>8.5299999999999994</v>
      </c>
      <c r="K10">
        <v>0</v>
      </c>
      <c r="L10">
        <v>0.99</v>
      </c>
      <c r="M10">
        <v>0</v>
      </c>
      <c r="N10">
        <v>0</v>
      </c>
      <c r="O10">
        <v>0</v>
      </c>
      <c r="P10">
        <v>2.0219999999999998</v>
      </c>
      <c r="Q10">
        <v>0</v>
      </c>
    </row>
    <row r="11" spans="1:18" x14ac:dyDescent="0.45">
      <c r="A11">
        <v>6</v>
      </c>
      <c r="B11">
        <v>1.65</v>
      </c>
      <c r="C11">
        <v>0</v>
      </c>
      <c r="D11">
        <v>8.4</v>
      </c>
      <c r="E11">
        <v>0</v>
      </c>
      <c r="F11">
        <v>3.02</v>
      </c>
      <c r="G11">
        <v>0</v>
      </c>
      <c r="H11">
        <v>2.9279999999999999</v>
      </c>
      <c r="I11">
        <v>0</v>
      </c>
      <c r="J11">
        <v>9.07</v>
      </c>
      <c r="K11">
        <v>0</v>
      </c>
      <c r="L11">
        <v>2.1</v>
      </c>
      <c r="M11">
        <v>0</v>
      </c>
      <c r="N11">
        <v>0.14399999999999999</v>
      </c>
      <c r="O11">
        <v>0</v>
      </c>
      <c r="P11">
        <v>3.0640000000000001</v>
      </c>
      <c r="Q11">
        <v>0</v>
      </c>
    </row>
    <row r="12" spans="1:18" x14ac:dyDescent="0.45">
      <c r="A12">
        <v>7</v>
      </c>
      <c r="B12">
        <v>3.6120000000000001</v>
      </c>
      <c r="C12">
        <v>0</v>
      </c>
      <c r="D12">
        <v>9.5</v>
      </c>
      <c r="E12">
        <v>0</v>
      </c>
      <c r="F12">
        <v>4.8899999999999997</v>
      </c>
      <c r="G12">
        <v>0</v>
      </c>
      <c r="H12">
        <v>4.8920000000000003</v>
      </c>
      <c r="I12">
        <v>0</v>
      </c>
      <c r="J12">
        <v>10.26</v>
      </c>
      <c r="K12">
        <v>0</v>
      </c>
      <c r="L12">
        <v>3.9380000000000002</v>
      </c>
      <c r="M12">
        <v>0</v>
      </c>
      <c r="N12">
        <v>2.1960000000000002</v>
      </c>
      <c r="O12">
        <v>0</v>
      </c>
      <c r="P12">
        <v>4.6980000000000004</v>
      </c>
      <c r="Q12">
        <v>0</v>
      </c>
    </row>
    <row r="13" spans="1:18" x14ac:dyDescent="0.45">
      <c r="A13">
        <v>8</v>
      </c>
      <c r="B13">
        <v>5.7359999999999998</v>
      </c>
      <c r="C13">
        <v>0</v>
      </c>
      <c r="D13">
        <v>10.8</v>
      </c>
      <c r="E13">
        <v>0</v>
      </c>
      <c r="F13">
        <v>7.08</v>
      </c>
      <c r="G13">
        <v>0</v>
      </c>
      <c r="H13">
        <v>7.1479999999999997</v>
      </c>
      <c r="I13">
        <v>0</v>
      </c>
      <c r="J13">
        <v>11.78</v>
      </c>
      <c r="K13">
        <v>0</v>
      </c>
      <c r="L13">
        <v>5.8639999999999999</v>
      </c>
      <c r="M13">
        <v>0</v>
      </c>
      <c r="N13">
        <v>4.41</v>
      </c>
      <c r="O13">
        <v>0</v>
      </c>
      <c r="P13">
        <v>6.64</v>
      </c>
      <c r="Q13">
        <v>0</v>
      </c>
    </row>
    <row r="14" spans="1:18" x14ac:dyDescent="0.45">
      <c r="A14">
        <v>9</v>
      </c>
      <c r="B14">
        <v>2.5619999999999998</v>
      </c>
      <c r="C14">
        <v>0</v>
      </c>
      <c r="D14">
        <v>11.9</v>
      </c>
      <c r="E14">
        <v>0</v>
      </c>
      <c r="F14">
        <v>4.0199999999999996</v>
      </c>
      <c r="G14">
        <v>0</v>
      </c>
      <c r="H14">
        <v>8.94</v>
      </c>
      <c r="I14">
        <v>0</v>
      </c>
      <c r="J14">
        <v>8.66</v>
      </c>
      <c r="K14">
        <v>0</v>
      </c>
      <c r="L14">
        <v>2.944</v>
      </c>
      <c r="M14">
        <v>0</v>
      </c>
      <c r="N14">
        <v>6.29</v>
      </c>
      <c r="O14">
        <v>0</v>
      </c>
      <c r="P14">
        <v>3.528</v>
      </c>
      <c r="Q14">
        <v>0</v>
      </c>
    </row>
    <row r="15" spans="1:18" x14ac:dyDescent="0.45">
      <c r="A15">
        <v>10</v>
      </c>
      <c r="B15">
        <v>0</v>
      </c>
      <c r="C15">
        <v>0</v>
      </c>
      <c r="D15">
        <v>7.76</v>
      </c>
      <c r="E15">
        <v>0</v>
      </c>
      <c r="F15">
        <v>1.48</v>
      </c>
      <c r="G15">
        <v>0</v>
      </c>
      <c r="H15">
        <v>5.03</v>
      </c>
      <c r="I15">
        <v>0</v>
      </c>
      <c r="J15">
        <v>5.82</v>
      </c>
      <c r="K15">
        <v>0</v>
      </c>
      <c r="L15">
        <v>0.26800000000000002</v>
      </c>
      <c r="M15">
        <v>0</v>
      </c>
      <c r="N15">
        <v>4.3280000000000003</v>
      </c>
      <c r="O15">
        <v>0</v>
      </c>
      <c r="P15">
        <v>1.1639999999999999</v>
      </c>
      <c r="Q15">
        <v>0</v>
      </c>
    </row>
    <row r="16" spans="1:18" x14ac:dyDescent="0.45">
      <c r="A16">
        <v>11</v>
      </c>
      <c r="B16">
        <v>0</v>
      </c>
      <c r="C16">
        <v>0</v>
      </c>
      <c r="D16">
        <v>5.94</v>
      </c>
      <c r="E16">
        <v>0</v>
      </c>
      <c r="F16">
        <v>0</v>
      </c>
      <c r="G16">
        <v>0</v>
      </c>
      <c r="H16">
        <v>3.46</v>
      </c>
      <c r="I16">
        <v>0</v>
      </c>
      <c r="J16">
        <v>2.58</v>
      </c>
      <c r="K16">
        <v>0</v>
      </c>
      <c r="L16">
        <v>0</v>
      </c>
      <c r="M16">
        <v>0</v>
      </c>
      <c r="N16">
        <v>3.7120000000000002</v>
      </c>
      <c r="O16">
        <v>0</v>
      </c>
      <c r="P16">
        <v>0</v>
      </c>
      <c r="Q16">
        <v>0</v>
      </c>
    </row>
    <row r="17" spans="1:17" x14ac:dyDescent="0.45">
      <c r="A17">
        <v>12</v>
      </c>
      <c r="B17">
        <v>0</v>
      </c>
      <c r="C17">
        <v>0</v>
      </c>
      <c r="D17">
        <v>4.46</v>
      </c>
      <c r="E17">
        <v>0</v>
      </c>
      <c r="F17">
        <v>0</v>
      </c>
      <c r="G17">
        <v>0</v>
      </c>
      <c r="H17">
        <v>2.2799999999999998</v>
      </c>
      <c r="I17">
        <v>0</v>
      </c>
      <c r="J17">
        <v>0.49</v>
      </c>
      <c r="K17">
        <v>0</v>
      </c>
      <c r="L17">
        <v>0</v>
      </c>
      <c r="M17">
        <v>0</v>
      </c>
      <c r="N17">
        <v>3.2440000000000002</v>
      </c>
      <c r="O17">
        <v>0</v>
      </c>
      <c r="P17">
        <v>0</v>
      </c>
      <c r="Q17">
        <v>0</v>
      </c>
    </row>
    <row r="18" spans="1:17" x14ac:dyDescent="0.45">
      <c r="A18">
        <v>13</v>
      </c>
      <c r="B18">
        <v>0</v>
      </c>
      <c r="C18">
        <v>0</v>
      </c>
      <c r="D18">
        <v>4.0999999999999996</v>
      </c>
      <c r="E18">
        <v>0</v>
      </c>
      <c r="F18">
        <v>0</v>
      </c>
      <c r="G18">
        <v>0</v>
      </c>
      <c r="H18">
        <v>1.792</v>
      </c>
      <c r="I18">
        <v>0</v>
      </c>
      <c r="J18">
        <v>0</v>
      </c>
      <c r="K18">
        <v>0</v>
      </c>
      <c r="L18">
        <v>0</v>
      </c>
      <c r="M18">
        <v>0</v>
      </c>
      <c r="N18">
        <v>2.9820000000000002</v>
      </c>
      <c r="O18">
        <v>0</v>
      </c>
      <c r="P18">
        <v>3.71</v>
      </c>
      <c r="Q18">
        <v>0</v>
      </c>
    </row>
    <row r="19" spans="1:17" x14ac:dyDescent="0.45">
      <c r="A19">
        <v>14</v>
      </c>
      <c r="B19">
        <v>0</v>
      </c>
      <c r="C19">
        <v>0</v>
      </c>
      <c r="D19">
        <v>2.778</v>
      </c>
      <c r="E19">
        <v>0</v>
      </c>
      <c r="F19">
        <v>0</v>
      </c>
      <c r="G19">
        <v>0</v>
      </c>
      <c r="H19">
        <v>2.3140000000000001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3.1560000000000001</v>
      </c>
      <c r="O19">
        <v>0</v>
      </c>
      <c r="P19">
        <v>7.8540000000000001</v>
      </c>
      <c r="Q19">
        <v>0</v>
      </c>
    </row>
    <row r="20" spans="1:17" x14ac:dyDescent="0.45">
      <c r="A20">
        <v>15</v>
      </c>
      <c r="B20">
        <v>0</v>
      </c>
      <c r="C20">
        <v>0</v>
      </c>
      <c r="D20">
        <v>3.8820000000000001</v>
      </c>
      <c r="E20">
        <v>0</v>
      </c>
      <c r="F20">
        <v>0</v>
      </c>
      <c r="G20">
        <v>0</v>
      </c>
      <c r="H20">
        <v>3.758</v>
      </c>
      <c r="I20">
        <v>0</v>
      </c>
      <c r="J20">
        <v>0.35199999999999998</v>
      </c>
      <c r="K20">
        <v>0</v>
      </c>
      <c r="L20">
        <v>0</v>
      </c>
      <c r="M20">
        <v>0</v>
      </c>
      <c r="N20">
        <v>3.726</v>
      </c>
      <c r="O20">
        <v>0</v>
      </c>
      <c r="P20">
        <v>8.5020000000000007</v>
      </c>
      <c r="Q20">
        <v>0</v>
      </c>
    </row>
    <row r="21" spans="1:17" x14ac:dyDescent="0.45">
      <c r="A21">
        <v>16</v>
      </c>
      <c r="B21">
        <v>0</v>
      </c>
      <c r="C21">
        <v>0</v>
      </c>
      <c r="D21">
        <v>5.8239999999999998</v>
      </c>
      <c r="E21">
        <v>0</v>
      </c>
      <c r="F21">
        <v>0.43</v>
      </c>
      <c r="G21">
        <v>0</v>
      </c>
      <c r="H21">
        <v>5.9080000000000004</v>
      </c>
      <c r="I21">
        <v>0</v>
      </c>
      <c r="J21">
        <v>3.226</v>
      </c>
      <c r="K21">
        <v>0</v>
      </c>
      <c r="L21">
        <v>0</v>
      </c>
      <c r="M21">
        <v>0</v>
      </c>
      <c r="N21">
        <v>4.5620000000000003</v>
      </c>
      <c r="O21">
        <v>0</v>
      </c>
      <c r="P21">
        <v>7.3739999999999997</v>
      </c>
      <c r="Q21">
        <v>0</v>
      </c>
    </row>
    <row r="22" spans="1:17" x14ac:dyDescent="0.45">
      <c r="A22">
        <v>17</v>
      </c>
      <c r="B22">
        <v>0.68799999999999994</v>
      </c>
      <c r="C22">
        <v>0</v>
      </c>
      <c r="D22">
        <v>8.26</v>
      </c>
      <c r="E22">
        <v>0</v>
      </c>
      <c r="F22">
        <v>4.25</v>
      </c>
      <c r="G22">
        <v>0</v>
      </c>
      <c r="H22">
        <v>8.5500000000000007</v>
      </c>
      <c r="I22">
        <v>0</v>
      </c>
      <c r="J22">
        <v>7</v>
      </c>
      <c r="K22">
        <v>0</v>
      </c>
      <c r="L22">
        <v>0.83</v>
      </c>
      <c r="M22">
        <v>0</v>
      </c>
      <c r="N22">
        <v>5.83</v>
      </c>
      <c r="O22">
        <v>0</v>
      </c>
      <c r="P22">
        <v>6.77</v>
      </c>
      <c r="Q22">
        <v>0</v>
      </c>
    </row>
    <row r="23" spans="1:17" x14ac:dyDescent="0.45">
      <c r="A23">
        <v>18</v>
      </c>
      <c r="B23">
        <v>4.992</v>
      </c>
      <c r="C23">
        <v>0</v>
      </c>
      <c r="D23">
        <v>10.885999999999999</v>
      </c>
      <c r="E23">
        <v>0</v>
      </c>
      <c r="F23">
        <v>8.6300000000000008</v>
      </c>
      <c r="G23">
        <v>0</v>
      </c>
      <c r="H23">
        <v>11.214</v>
      </c>
      <c r="I23">
        <v>0</v>
      </c>
      <c r="J23">
        <v>11.1</v>
      </c>
      <c r="K23">
        <v>0</v>
      </c>
      <c r="L23">
        <v>4.8520000000000003</v>
      </c>
      <c r="M23">
        <v>0</v>
      </c>
      <c r="N23">
        <v>7.1840000000000002</v>
      </c>
      <c r="O23">
        <v>0</v>
      </c>
      <c r="P23">
        <v>6.89</v>
      </c>
      <c r="Q23">
        <v>0</v>
      </c>
    </row>
    <row r="24" spans="1:17" x14ac:dyDescent="0.45">
      <c r="A24">
        <v>19</v>
      </c>
      <c r="B24">
        <v>7.9480000000000004</v>
      </c>
      <c r="C24">
        <v>0</v>
      </c>
      <c r="D24">
        <v>13.747999999999999</v>
      </c>
      <c r="E24">
        <v>0</v>
      </c>
      <c r="F24">
        <v>11.49</v>
      </c>
      <c r="G24">
        <v>0</v>
      </c>
      <c r="H24">
        <v>12.374000000000001</v>
      </c>
      <c r="I24">
        <v>0</v>
      </c>
      <c r="J24">
        <v>13.582000000000001</v>
      </c>
      <c r="K24">
        <v>0</v>
      </c>
      <c r="L24">
        <v>7.8440000000000003</v>
      </c>
      <c r="M24">
        <v>0</v>
      </c>
      <c r="N24">
        <v>8.4960000000000004</v>
      </c>
      <c r="O24">
        <v>0</v>
      </c>
      <c r="P24">
        <v>7.718</v>
      </c>
      <c r="Q24">
        <v>0</v>
      </c>
    </row>
    <row r="25" spans="1:17" x14ac:dyDescent="0.45">
      <c r="A25">
        <v>20</v>
      </c>
      <c r="B25">
        <v>9.0839999999999996</v>
      </c>
      <c r="C25">
        <v>0</v>
      </c>
      <c r="D25">
        <v>12.596</v>
      </c>
      <c r="E25">
        <v>0</v>
      </c>
      <c r="F25">
        <v>12.38</v>
      </c>
      <c r="G25">
        <v>0</v>
      </c>
      <c r="H25">
        <v>12.007999999999999</v>
      </c>
      <c r="I25">
        <v>0</v>
      </c>
      <c r="J25">
        <v>14.096</v>
      </c>
      <c r="K25">
        <v>0</v>
      </c>
      <c r="L25">
        <v>9.1760000000000002</v>
      </c>
      <c r="M25">
        <v>0</v>
      </c>
      <c r="N25">
        <v>6.94</v>
      </c>
      <c r="O25">
        <v>0</v>
      </c>
      <c r="P25">
        <v>8.9740000000000002</v>
      </c>
      <c r="Q25">
        <v>0</v>
      </c>
    </row>
    <row r="26" spans="1:17" x14ac:dyDescent="0.45">
      <c r="A26">
        <v>21</v>
      </c>
      <c r="B26">
        <v>7.298</v>
      </c>
      <c r="C26">
        <v>0</v>
      </c>
      <c r="D26">
        <v>11.256</v>
      </c>
      <c r="E26">
        <v>0</v>
      </c>
      <c r="F26">
        <v>10.31</v>
      </c>
      <c r="G26">
        <v>0</v>
      </c>
      <c r="H26">
        <v>9.9979999999999993</v>
      </c>
      <c r="I26">
        <v>0</v>
      </c>
      <c r="J26">
        <v>12.108000000000001</v>
      </c>
      <c r="K26">
        <v>0</v>
      </c>
      <c r="L26">
        <v>7.8380000000000001</v>
      </c>
      <c r="M26">
        <v>0</v>
      </c>
      <c r="N26">
        <v>5.28</v>
      </c>
      <c r="O26">
        <v>0</v>
      </c>
      <c r="P26">
        <v>8.0640000000000001</v>
      </c>
      <c r="Q26">
        <v>0</v>
      </c>
    </row>
    <row r="27" spans="1:17" x14ac:dyDescent="0.45">
      <c r="A27">
        <v>22</v>
      </c>
      <c r="B27">
        <v>5.2960000000000003</v>
      </c>
      <c r="C27">
        <v>0</v>
      </c>
      <c r="D27">
        <v>9.5039999999999996</v>
      </c>
      <c r="E27">
        <v>0</v>
      </c>
      <c r="F27">
        <v>8.11</v>
      </c>
      <c r="G27">
        <v>0</v>
      </c>
      <c r="H27">
        <v>7.8860000000000001</v>
      </c>
      <c r="I27">
        <v>0</v>
      </c>
      <c r="J27">
        <v>10.102</v>
      </c>
      <c r="K27">
        <v>0</v>
      </c>
      <c r="L27">
        <v>6.194</v>
      </c>
      <c r="M27">
        <v>0</v>
      </c>
      <c r="N27">
        <v>3.3479999999999999</v>
      </c>
      <c r="O27">
        <v>0</v>
      </c>
      <c r="P27">
        <v>6.81</v>
      </c>
      <c r="Q27">
        <v>0</v>
      </c>
    </row>
    <row r="28" spans="1:17" x14ac:dyDescent="0.45">
      <c r="A28">
        <v>23</v>
      </c>
      <c r="B28">
        <v>3.5139999999999998</v>
      </c>
      <c r="C28">
        <v>0</v>
      </c>
      <c r="D28">
        <v>7.72</v>
      </c>
      <c r="E28">
        <v>0</v>
      </c>
      <c r="F28">
        <v>6.01</v>
      </c>
      <c r="G28">
        <v>0</v>
      </c>
      <c r="H28">
        <v>5.8079999999999998</v>
      </c>
      <c r="I28">
        <v>0</v>
      </c>
      <c r="J28">
        <v>8.0039999999999996</v>
      </c>
      <c r="K28">
        <v>0</v>
      </c>
      <c r="L28">
        <v>4.5199999999999996</v>
      </c>
      <c r="M28">
        <v>0</v>
      </c>
      <c r="N28">
        <v>1.5720000000000001</v>
      </c>
      <c r="O28">
        <v>0</v>
      </c>
      <c r="P28">
        <v>5.54</v>
      </c>
      <c r="Q28">
        <v>0</v>
      </c>
    </row>
    <row r="29" spans="1:17" x14ac:dyDescent="0.45">
      <c r="A29">
        <v>24</v>
      </c>
      <c r="B29">
        <v>1.9139999999999999</v>
      </c>
      <c r="C29">
        <v>0</v>
      </c>
      <c r="D29">
        <v>6.02</v>
      </c>
      <c r="E29">
        <v>0</v>
      </c>
      <c r="F29">
        <v>4.09</v>
      </c>
      <c r="G29">
        <v>0</v>
      </c>
      <c r="H29">
        <v>3.8679999999999999</v>
      </c>
      <c r="I29">
        <v>0</v>
      </c>
      <c r="J29">
        <v>6.0439999999999996</v>
      </c>
      <c r="K29">
        <v>0</v>
      </c>
      <c r="L29">
        <v>2.92</v>
      </c>
      <c r="M29">
        <v>0</v>
      </c>
      <c r="N29">
        <v>0</v>
      </c>
      <c r="O29">
        <v>0</v>
      </c>
      <c r="P29">
        <v>3.9159999999999999</v>
      </c>
      <c r="Q29">
        <v>0</v>
      </c>
    </row>
    <row r="31" spans="1:17" x14ac:dyDescent="0.45">
      <c r="A31" s="13" t="s">
        <v>472</v>
      </c>
      <c r="B31" s="13" t="s">
        <v>473</v>
      </c>
      <c r="E31" s="10"/>
      <c r="G31" s="10"/>
      <c r="I31" s="10"/>
      <c r="K31" s="10"/>
      <c r="M31" s="10"/>
      <c r="O31" s="10"/>
      <c r="Q31" s="10"/>
    </row>
    <row r="32" spans="1:17" x14ac:dyDescent="0.45">
      <c r="A32" t="s">
        <v>471</v>
      </c>
      <c r="B32" s="10">
        <v>11371.945699</v>
      </c>
    </row>
    <row r="33" spans="1:2" x14ac:dyDescent="0.45">
      <c r="A33" t="s">
        <v>474</v>
      </c>
      <c r="B33" s="10">
        <v>13793.752595</v>
      </c>
    </row>
    <row r="34" spans="1:2" x14ac:dyDescent="0.45">
      <c r="A34" t="s">
        <v>475</v>
      </c>
      <c r="B34" s="10">
        <v>14446.516</v>
      </c>
    </row>
    <row r="35" spans="1:2" x14ac:dyDescent="0.45">
      <c r="A35" t="s">
        <v>476</v>
      </c>
      <c r="B35" s="10">
        <v>13203.279715999999</v>
      </c>
    </row>
    <row r="36" spans="1:2" x14ac:dyDescent="0.45">
      <c r="A36" t="s">
        <v>469</v>
      </c>
      <c r="B36" s="10">
        <v>8336.0380210000003</v>
      </c>
    </row>
    <row r="37" spans="1:2" x14ac:dyDescent="0.45">
      <c r="A37" t="s">
        <v>477</v>
      </c>
      <c r="B37" s="10">
        <v>8753.1730019999995</v>
      </c>
    </row>
    <row r="38" spans="1:2" x14ac:dyDescent="0.45">
      <c r="A38" t="s">
        <v>478</v>
      </c>
      <c r="B38" s="10">
        <v>10833.106197999999</v>
      </c>
    </row>
    <row r="39" spans="1:2" x14ac:dyDescent="0.45">
      <c r="A39" t="s">
        <v>479</v>
      </c>
      <c r="B39" s="10">
        <v>14960.128000000001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4F31-79A2-435E-8728-AE6E9A62584C}">
  <dimension ref="A1:K193"/>
  <sheetViews>
    <sheetView workbookViewId="0">
      <selection activeCell="M1" sqref="M1"/>
    </sheetView>
  </sheetViews>
  <sheetFormatPr defaultRowHeight="14.25" x14ac:dyDescent="0.45"/>
  <cols>
    <col min="5" max="5" width="12.265625" bestFit="1" customWidth="1"/>
    <col min="7" max="7" width="11.1328125" style="7" customWidth="1"/>
    <col min="9" max="9" width="14" customWidth="1"/>
  </cols>
  <sheetData>
    <row r="1" spans="1:11" ht="26.65" x14ac:dyDescent="0.45">
      <c r="B1" s="2" t="s">
        <v>0</v>
      </c>
      <c r="D1" t="s">
        <v>438</v>
      </c>
      <c r="E1" s="10">
        <v>11518.34096</v>
      </c>
      <c r="G1" s="7" t="s">
        <v>443</v>
      </c>
      <c r="H1" t="s">
        <v>2</v>
      </c>
      <c r="I1" t="s">
        <v>444</v>
      </c>
      <c r="J1" t="s">
        <v>4</v>
      </c>
      <c r="K1" t="s">
        <v>5</v>
      </c>
    </row>
    <row r="2" spans="1:11" x14ac:dyDescent="0.45">
      <c r="B2" s="4" t="s">
        <v>439</v>
      </c>
      <c r="G2" s="8" t="s">
        <v>19</v>
      </c>
      <c r="H2" t="str" cm="1">
        <f t="array" ref="H2:K2">_xlfn.TEXTSPLIT(G2, " ")</f>
        <v>1</v>
      </c>
      <c r="I2" t="str">
        <v>Clear_Breezy</v>
      </c>
      <c r="J2" t="str">
        <v>0.712</v>
      </c>
      <c r="K2" t="str">
        <v>0</v>
      </c>
    </row>
    <row r="3" spans="1:11" x14ac:dyDescent="0.45">
      <c r="B3" s="4" t="s">
        <v>440</v>
      </c>
      <c r="G3" s="8" t="s">
        <v>22</v>
      </c>
      <c r="H3" t="str" cm="1">
        <f t="array" ref="H3:K3">_xlfn.TEXTSPLIT(G3, " ")</f>
        <v>1</v>
      </c>
      <c r="I3" t="str">
        <v>Cloudy_Calm</v>
      </c>
      <c r="J3" t="str">
        <v>4.704</v>
      </c>
      <c r="K3" t="str">
        <v>0</v>
      </c>
    </row>
    <row r="4" spans="1:11" x14ac:dyDescent="0.45">
      <c r="A4" s="7" t="s">
        <v>7</v>
      </c>
      <c r="B4" t="s">
        <v>2</v>
      </c>
      <c r="C4" t="s">
        <v>17</v>
      </c>
      <c r="D4" t="s">
        <v>18</v>
      </c>
      <c r="G4" s="8" t="s">
        <v>25</v>
      </c>
      <c r="H4" t="str" cm="1">
        <f t="array" ref="H4:K4">_xlfn.TEXTSPLIT(G4, " ")</f>
        <v>1</v>
      </c>
      <c r="I4" t="str">
        <v>Hot_Clear</v>
      </c>
      <c r="J4" t="str">
        <v>2.74</v>
      </c>
      <c r="K4" t="str">
        <v>0</v>
      </c>
    </row>
    <row r="5" spans="1:11" x14ac:dyDescent="0.45">
      <c r="A5" s="8" t="s">
        <v>445</v>
      </c>
      <c r="B5" s="11" t="str" cm="1">
        <f t="array" ref="B5:D5">_xlfn.TEXTSPLIT(A5, " ")</f>
        <v>1</v>
      </c>
      <c r="C5" s="9" t="str">
        <v>0</v>
      </c>
      <c r="D5" s="9" t="str">
        <v>14</v>
      </c>
      <c r="G5" s="8" t="s">
        <v>28</v>
      </c>
      <c r="H5" t="str" cm="1">
        <f t="array" ref="H5:K5">_xlfn.TEXTSPLIT(G5, " ")</f>
        <v>1</v>
      </c>
      <c r="I5" t="str">
        <v>Hot_Cloudy</v>
      </c>
      <c r="J5" t="str">
        <v>2.522</v>
      </c>
      <c r="K5" t="str">
        <v>0</v>
      </c>
    </row>
    <row r="6" spans="1:11" x14ac:dyDescent="0.45">
      <c r="A6" s="8" t="s">
        <v>446</v>
      </c>
      <c r="B6" s="11" t="str" cm="1">
        <f t="array" ref="B6:D6">_xlfn.TEXTSPLIT(A6, " ")</f>
        <v>2</v>
      </c>
      <c r="C6" s="9" t="str">
        <v>0</v>
      </c>
      <c r="D6" s="9" t="str">
        <v>14</v>
      </c>
      <c r="G6" s="8" t="s">
        <v>31</v>
      </c>
      <c r="H6" t="str" cm="1">
        <f t="array" ref="H6:K6">_xlfn.TEXTSPLIT(G6, " ")</f>
        <v>1</v>
      </c>
      <c r="I6" t="str">
        <v>Hot_Hazy</v>
      </c>
      <c r="J6" t="str">
        <v>4.632</v>
      </c>
      <c r="K6" t="str">
        <v>0</v>
      </c>
    </row>
    <row r="7" spans="1:11" x14ac:dyDescent="0.45">
      <c r="A7" s="8" t="s">
        <v>447</v>
      </c>
      <c r="B7" s="11" t="str" cm="1">
        <f t="array" ref="B7:D7">_xlfn.TEXTSPLIT(A7, " ")</f>
        <v>3</v>
      </c>
      <c r="C7" s="9" t="str">
        <v>0</v>
      </c>
      <c r="D7" s="9" t="str">
        <v>14</v>
      </c>
      <c r="G7" s="8" t="s">
        <v>34</v>
      </c>
      <c r="H7" t="str" cm="1">
        <f t="array" ref="H7:K7">_xlfn.TEXTSPLIT(G7, " ")</f>
        <v>1</v>
      </c>
      <c r="I7" t="str">
        <v>Mild_Balanced</v>
      </c>
      <c r="J7" t="str">
        <v>1.74</v>
      </c>
      <c r="K7" t="str">
        <v>0</v>
      </c>
    </row>
    <row r="8" spans="1:11" x14ac:dyDescent="0.45">
      <c r="A8" s="8" t="s">
        <v>448</v>
      </c>
      <c r="B8" s="11" t="str" cm="1">
        <f t="array" ref="B8:D8">_xlfn.TEXTSPLIT(A8, " ")</f>
        <v>4</v>
      </c>
      <c r="C8" s="9" t="str">
        <v>0</v>
      </c>
      <c r="D8" s="9" t="str">
        <v>14</v>
      </c>
      <c r="G8" s="8" t="s">
        <v>37</v>
      </c>
      <c r="H8" t="str" cm="1">
        <f t="array" ref="H8:K8">_xlfn.TEXTSPLIT(G8, " ")</f>
        <v>1</v>
      </c>
      <c r="I8" t="str">
        <v>Overcast_Windy</v>
      </c>
      <c r="J8" t="str">
        <v>0</v>
      </c>
      <c r="K8" t="str">
        <v>1.112</v>
      </c>
    </row>
    <row r="9" spans="1:11" x14ac:dyDescent="0.45">
      <c r="A9" s="8" t="s">
        <v>449</v>
      </c>
      <c r="B9" s="11" t="str" cm="1">
        <f t="array" ref="B9:D9">_xlfn.TEXTSPLIT(A9, " ")</f>
        <v>5</v>
      </c>
      <c r="C9" s="9" t="str">
        <v>0</v>
      </c>
      <c r="D9" s="9" t="str">
        <v>14</v>
      </c>
      <c r="G9" s="8" t="s">
        <v>40</v>
      </c>
      <c r="H9" t="str" cm="1">
        <f t="array" ref="H9:K9">_xlfn.TEXTSPLIT(G9, " ")</f>
        <v>1</v>
      </c>
      <c r="I9" t="str">
        <v>Storm_PM</v>
      </c>
      <c r="J9" t="str">
        <v>2.798</v>
      </c>
      <c r="K9" t="str">
        <v>0</v>
      </c>
    </row>
    <row r="10" spans="1:11" x14ac:dyDescent="0.45">
      <c r="A10" s="8" t="s">
        <v>450</v>
      </c>
      <c r="B10" s="11" t="str" cm="1">
        <f t="array" ref="B10:D10">_xlfn.TEXTSPLIT(A10, " ")</f>
        <v>6</v>
      </c>
      <c r="C10" s="9" t="str">
        <v>0</v>
      </c>
      <c r="D10" s="9" t="str">
        <v>14</v>
      </c>
      <c r="G10" s="8" t="s">
        <v>42</v>
      </c>
      <c r="H10" t="str" cm="1">
        <f t="array" ref="H10:K10">_xlfn.TEXTSPLIT(G10, " ")</f>
        <v>2</v>
      </c>
      <c r="I10" t="str">
        <v>Clear_Breezy</v>
      </c>
      <c r="J10" t="str">
        <v>0.086</v>
      </c>
      <c r="K10" t="str">
        <v>0</v>
      </c>
    </row>
    <row r="11" spans="1:11" x14ac:dyDescent="0.45">
      <c r="A11" s="8" t="s">
        <v>451</v>
      </c>
      <c r="B11" s="11" t="str" cm="1">
        <f t="array" ref="B11:D11">_xlfn.TEXTSPLIT(A11, " ")</f>
        <v>7</v>
      </c>
      <c r="C11" s="9" t="str">
        <v>0</v>
      </c>
      <c r="D11" s="9" t="str">
        <v>14</v>
      </c>
      <c r="G11" s="8" t="s">
        <v>44</v>
      </c>
      <c r="H11" t="str" cm="1">
        <f t="array" ref="H11:K11">_xlfn.TEXTSPLIT(G11, " ")</f>
        <v>2</v>
      </c>
      <c r="I11" t="str">
        <v>Cloudy_Calm</v>
      </c>
      <c r="J11" t="str">
        <v>4.236</v>
      </c>
      <c r="K11" t="str">
        <v>0</v>
      </c>
    </row>
    <row r="12" spans="1:11" x14ac:dyDescent="0.45">
      <c r="A12" s="8" t="s">
        <v>452</v>
      </c>
      <c r="B12" s="11" t="str" cm="1">
        <f t="array" ref="B12:D12">_xlfn.TEXTSPLIT(A12, " ")</f>
        <v>8</v>
      </c>
      <c r="C12" s="9" t="str">
        <v>0</v>
      </c>
      <c r="D12" s="9" t="str">
        <v>14</v>
      </c>
      <c r="G12" s="8" t="s">
        <v>46</v>
      </c>
      <c r="H12" t="str" cm="1">
        <f t="array" ref="H12:K12">_xlfn.TEXTSPLIT(G12, " ")</f>
        <v>2</v>
      </c>
      <c r="I12" t="str">
        <v>Hot_Clear</v>
      </c>
      <c r="J12" t="str">
        <v>2.15</v>
      </c>
      <c r="K12" t="str">
        <v>0</v>
      </c>
    </row>
    <row r="13" spans="1:11" x14ac:dyDescent="0.45">
      <c r="A13" s="8" t="s">
        <v>453</v>
      </c>
      <c r="B13" s="11" t="str" cm="1">
        <f t="array" ref="B13:D13">_xlfn.TEXTSPLIT(A13, " ")</f>
        <v>9</v>
      </c>
      <c r="C13" s="9" t="str">
        <v>20</v>
      </c>
      <c r="D13" s="9" t="str">
        <v>14</v>
      </c>
      <c r="G13" s="8" t="s">
        <v>48</v>
      </c>
      <c r="H13" t="str" cm="1">
        <f t="array" ref="H13:K13">_xlfn.TEXTSPLIT(G13, " ")</f>
        <v>2</v>
      </c>
      <c r="I13" t="str">
        <v>Hot_Cloudy</v>
      </c>
      <c r="J13" t="str">
        <v>1.908</v>
      </c>
      <c r="K13" t="str">
        <v>0</v>
      </c>
    </row>
    <row r="14" spans="1:11" x14ac:dyDescent="0.45">
      <c r="A14" s="8" t="s">
        <v>454</v>
      </c>
      <c r="B14" s="11" t="str" cm="1">
        <f t="array" ref="B14:D14">_xlfn.TEXTSPLIT(A14, " ")</f>
        <v>10</v>
      </c>
      <c r="C14" s="9" t="str">
        <v>20</v>
      </c>
      <c r="D14" s="9" t="str">
        <v>14</v>
      </c>
      <c r="G14" s="8" t="s">
        <v>50</v>
      </c>
      <c r="H14" t="str" cm="1">
        <f t="array" ref="H14:K14">_xlfn.TEXTSPLIT(G14, " ")</f>
        <v>2</v>
      </c>
      <c r="I14" t="str">
        <v>Hot_Hazy</v>
      </c>
      <c r="J14" t="str">
        <v>4.116</v>
      </c>
      <c r="K14" t="str">
        <v>0</v>
      </c>
    </row>
    <row r="15" spans="1:11" x14ac:dyDescent="0.45">
      <c r="A15" s="8" t="s">
        <v>455</v>
      </c>
      <c r="B15" s="11" t="str" cm="1">
        <f t="array" ref="B15:D15">_xlfn.TEXTSPLIT(A15, " ")</f>
        <v>11</v>
      </c>
      <c r="C15" s="9" t="str">
        <v>20</v>
      </c>
      <c r="D15" s="9" t="str">
        <v>14</v>
      </c>
      <c r="G15" s="8" t="s">
        <v>52</v>
      </c>
      <c r="H15" t="str" cm="1">
        <f t="array" ref="H15:K15">_xlfn.TEXTSPLIT(G15, " ")</f>
        <v>2</v>
      </c>
      <c r="I15" t="str">
        <v>Mild_Balanced</v>
      </c>
      <c r="J15" t="str">
        <v>1.18</v>
      </c>
      <c r="K15" t="str">
        <v>0</v>
      </c>
    </row>
    <row r="16" spans="1:11" x14ac:dyDescent="0.45">
      <c r="A16" s="8" t="s">
        <v>456</v>
      </c>
      <c r="B16" s="11" t="str" cm="1">
        <f t="array" ref="B16:D16">_xlfn.TEXTSPLIT(A16, " ")</f>
        <v>12</v>
      </c>
      <c r="C16" s="9" t="str">
        <v>20</v>
      </c>
      <c r="D16" s="9" t="str">
        <v>6.22363</v>
      </c>
      <c r="G16" s="8" t="s">
        <v>54</v>
      </c>
      <c r="H16" t="str" cm="1">
        <f t="array" ref="H16:K16">_xlfn.TEXTSPLIT(G16, " ")</f>
        <v>2</v>
      </c>
      <c r="I16" t="str">
        <v>Overcast_Windy</v>
      </c>
      <c r="J16" t="str">
        <v>0</v>
      </c>
      <c r="K16" t="str">
        <v>1.602</v>
      </c>
    </row>
    <row r="17" spans="1:11" x14ac:dyDescent="0.45">
      <c r="A17" s="8" t="s">
        <v>457</v>
      </c>
      <c r="B17" s="11" t="str" cm="1">
        <f t="array" ref="B17:D17">_xlfn.TEXTSPLIT(A17, " ")</f>
        <v>13</v>
      </c>
      <c r="C17" s="9" t="str">
        <v>20</v>
      </c>
      <c r="D17" s="9" t="str">
        <v>5.00841</v>
      </c>
      <c r="G17" s="8" t="s">
        <v>56</v>
      </c>
      <c r="H17" t="str" cm="1">
        <f t="array" ref="H17:K17">_xlfn.TEXTSPLIT(G17, " ")</f>
        <v>2</v>
      </c>
      <c r="I17" t="str">
        <v>Storm_PM</v>
      </c>
      <c r="J17" t="str">
        <v>2.222</v>
      </c>
      <c r="K17" t="str">
        <v>0</v>
      </c>
    </row>
    <row r="18" spans="1:11" x14ac:dyDescent="0.45">
      <c r="A18" s="8" t="s">
        <v>458</v>
      </c>
      <c r="B18" s="11" t="str" cm="1">
        <f t="array" ref="B18:D18">_xlfn.TEXTSPLIT(A18, " ")</f>
        <v>14</v>
      </c>
      <c r="C18" s="9" t="str">
        <v>20</v>
      </c>
      <c r="D18" s="9" t="str">
        <v>9.44132</v>
      </c>
      <c r="G18" s="8" t="s">
        <v>58</v>
      </c>
      <c r="H18" t="str" cm="1">
        <f t="array" ref="H18:K18">_xlfn.TEXTSPLIT(G18, " ")</f>
        <v>3</v>
      </c>
      <c r="I18" t="str">
        <v>Clear_Breezy</v>
      </c>
      <c r="J18" t="str">
        <v>0</v>
      </c>
      <c r="K18" t="str">
        <v>0</v>
      </c>
    </row>
    <row r="19" spans="1:11" x14ac:dyDescent="0.45">
      <c r="A19" s="8" t="s">
        <v>459</v>
      </c>
      <c r="B19" s="11" t="str" cm="1">
        <f t="array" ref="B19:D19">_xlfn.TEXTSPLIT(A19, " ")</f>
        <v>15</v>
      </c>
      <c r="C19" s="9" t="str">
        <v>20</v>
      </c>
      <c r="D19" s="9" t="str">
        <v>14</v>
      </c>
      <c r="G19" s="8" t="s">
        <v>60</v>
      </c>
      <c r="H19" t="str" cm="1">
        <f t="array" ref="H19:K19">_xlfn.TEXTSPLIT(G19, " ")</f>
        <v>3</v>
      </c>
      <c r="I19" t="str">
        <v>Cloudy_Calm</v>
      </c>
      <c r="J19" t="str">
        <v>4.03</v>
      </c>
      <c r="K19" t="str">
        <v>0</v>
      </c>
    </row>
    <row r="20" spans="1:11" x14ac:dyDescent="0.45">
      <c r="A20" s="8" t="s">
        <v>460</v>
      </c>
      <c r="B20" s="11" t="str" cm="1">
        <f t="array" ref="B20:D20">_xlfn.TEXTSPLIT(A20, " ")</f>
        <v>16</v>
      </c>
      <c r="C20" s="9" t="str">
        <v>20</v>
      </c>
      <c r="D20" s="9" t="str">
        <v>14</v>
      </c>
      <c r="G20" s="8" t="s">
        <v>62</v>
      </c>
      <c r="H20" t="str" cm="1">
        <f t="array" ref="H20:K20">_xlfn.TEXTSPLIT(G20, " ")</f>
        <v>3</v>
      </c>
      <c r="I20" t="str">
        <v>Hot_Clear</v>
      </c>
      <c r="J20" t="str">
        <v>1.92</v>
      </c>
      <c r="K20" t="str">
        <v>0</v>
      </c>
    </row>
    <row r="21" spans="1:11" x14ac:dyDescent="0.45">
      <c r="A21" s="8" t="s">
        <v>461</v>
      </c>
      <c r="B21" s="11" t="str" cm="1">
        <f t="array" ref="B21:D21">_xlfn.TEXTSPLIT(A21, " ")</f>
        <v>17</v>
      </c>
      <c r="C21" s="9" t="str">
        <v>20</v>
      </c>
      <c r="D21" s="9" t="str">
        <v>14</v>
      </c>
      <c r="G21" s="8" t="s">
        <v>64</v>
      </c>
      <c r="H21" t="str" cm="1">
        <f t="array" ref="H21:K21">_xlfn.TEXTSPLIT(G21, " ")</f>
        <v>3</v>
      </c>
      <c r="I21" t="str">
        <v>Hot_Cloudy</v>
      </c>
      <c r="J21" t="str">
        <v>1.67064</v>
      </c>
      <c r="K21" t="str">
        <v>0</v>
      </c>
    </row>
    <row r="22" spans="1:11" x14ac:dyDescent="0.45">
      <c r="A22" s="8" t="s">
        <v>462</v>
      </c>
      <c r="B22" s="11" t="str" cm="1">
        <f t="array" ref="B22:D22">_xlfn.TEXTSPLIT(A22, " ")</f>
        <v>18</v>
      </c>
      <c r="C22" s="9" t="str">
        <v>20</v>
      </c>
      <c r="D22" s="9" t="str">
        <v>14</v>
      </c>
      <c r="G22" s="8" t="s">
        <v>66</v>
      </c>
      <c r="H22" t="str" cm="1">
        <f t="array" ref="H22:K22">_xlfn.TEXTSPLIT(G22, " ")</f>
        <v>3</v>
      </c>
      <c r="I22" t="str">
        <v>Hot_Hazy</v>
      </c>
      <c r="J22" t="str">
        <v>3.82287</v>
      </c>
      <c r="K22" t="str">
        <v>0</v>
      </c>
    </row>
    <row r="23" spans="1:11" x14ac:dyDescent="0.45">
      <c r="A23" s="8" t="s">
        <v>463</v>
      </c>
      <c r="B23" s="11" t="str" cm="1">
        <f t="array" ref="B23:D23">_xlfn.TEXTSPLIT(A23, " ")</f>
        <v>19</v>
      </c>
      <c r="C23" s="9" t="str">
        <v>20</v>
      </c>
      <c r="D23" s="9" t="str">
        <v>14</v>
      </c>
      <c r="G23" s="8" t="s">
        <v>68</v>
      </c>
      <c r="H23" t="str" cm="1">
        <f t="array" ref="H23:K23">_xlfn.TEXTSPLIT(G23, " ")</f>
        <v>3</v>
      </c>
      <c r="I23" t="str">
        <v>Mild_Balanced</v>
      </c>
      <c r="J23" t="str">
        <v>0.98</v>
      </c>
      <c r="K23" t="str">
        <v>0</v>
      </c>
    </row>
    <row r="24" spans="1:11" x14ac:dyDescent="0.45">
      <c r="A24" s="8" t="s">
        <v>464</v>
      </c>
      <c r="B24" s="11" t="str" cm="1">
        <f t="array" ref="B24:D24">_xlfn.TEXTSPLIT(A24, " ")</f>
        <v>20</v>
      </c>
      <c r="C24" s="9" t="str">
        <v>0</v>
      </c>
      <c r="D24" s="9" t="str">
        <v>14</v>
      </c>
      <c r="G24" s="8" t="s">
        <v>70</v>
      </c>
      <c r="H24" t="str" cm="1">
        <f t="array" ref="H24:K24">_xlfn.TEXTSPLIT(G24, " ")</f>
        <v>3</v>
      </c>
      <c r="I24" t="str">
        <v>Overcast_Windy</v>
      </c>
      <c r="J24" t="str">
        <v>0</v>
      </c>
      <c r="K24" t="str">
        <v>1.68</v>
      </c>
    </row>
    <row r="25" spans="1:11" x14ac:dyDescent="0.45">
      <c r="A25" s="8" t="s">
        <v>465</v>
      </c>
      <c r="B25" s="11" t="str" cm="1">
        <f t="array" ref="B25:D25">_xlfn.TEXTSPLIT(A25, " ")</f>
        <v>21</v>
      </c>
      <c r="C25" s="9" t="str">
        <v>0</v>
      </c>
      <c r="D25" s="9" t="str">
        <v>14</v>
      </c>
      <c r="G25" s="8" t="s">
        <v>72</v>
      </c>
      <c r="H25" t="str" cm="1">
        <f t="array" ref="H25:K25">_xlfn.TEXTSPLIT(G25, " ")</f>
        <v>3</v>
      </c>
      <c r="I25" t="str">
        <v>Storm_PM</v>
      </c>
      <c r="J25" t="str">
        <v>2.01936</v>
      </c>
      <c r="K25" t="str">
        <v>0</v>
      </c>
    </row>
    <row r="26" spans="1:11" x14ac:dyDescent="0.45">
      <c r="A26" s="8" t="s">
        <v>466</v>
      </c>
      <c r="B26" s="11" t="str" cm="1">
        <f t="array" ref="B26:D26">_xlfn.TEXTSPLIT(A26, " ")</f>
        <v>22</v>
      </c>
      <c r="C26" s="9" t="str">
        <v>0</v>
      </c>
      <c r="D26" s="9" t="str">
        <v>14</v>
      </c>
      <c r="G26" s="8" t="s">
        <v>74</v>
      </c>
      <c r="H26" t="str" cm="1">
        <f t="array" ref="H26:K26">_xlfn.TEXTSPLIT(G26, " ")</f>
        <v>4</v>
      </c>
      <c r="I26" t="str">
        <v>Clear_Breezy</v>
      </c>
      <c r="J26" t="str">
        <v>0</v>
      </c>
      <c r="K26" t="str">
        <v>0</v>
      </c>
    </row>
    <row r="27" spans="1:11" x14ac:dyDescent="0.45">
      <c r="A27" s="8" t="s">
        <v>467</v>
      </c>
      <c r="B27" s="11" t="str" cm="1">
        <f t="array" ref="B27:D27">_xlfn.TEXTSPLIT(A27, " ")</f>
        <v>23</v>
      </c>
      <c r="C27" s="9" t="str">
        <v>0</v>
      </c>
      <c r="D27" s="9" t="str">
        <v>14</v>
      </c>
      <c r="G27" s="8" t="s">
        <v>76</v>
      </c>
      <c r="H27" t="str" cm="1">
        <f t="array" ref="H27:K27">_xlfn.TEXTSPLIT(G27, " ")</f>
        <v>4</v>
      </c>
      <c r="I27" t="str">
        <v>Cloudy_Calm</v>
      </c>
      <c r="J27" t="str">
        <v>3.91251</v>
      </c>
      <c r="K27" t="str">
        <v>0</v>
      </c>
    </row>
    <row r="28" spans="1:11" x14ac:dyDescent="0.45">
      <c r="A28" s="8" t="s">
        <v>468</v>
      </c>
      <c r="B28" s="11" t="str" cm="1">
        <f t="array" ref="B28:D28">_xlfn.TEXTSPLIT(A28, " ")</f>
        <v>24</v>
      </c>
      <c r="C28" s="9" t="str">
        <v>0</v>
      </c>
      <c r="D28" s="9" t="str">
        <v>14</v>
      </c>
      <c r="G28" s="8" t="s">
        <v>78</v>
      </c>
      <c r="H28" t="str" cm="1">
        <f t="array" ref="H28:K28">_xlfn.TEXTSPLIT(G28, " ")</f>
        <v>4</v>
      </c>
      <c r="I28" t="str">
        <v>Hot_Clear</v>
      </c>
      <c r="J28" t="str">
        <v>1.79085</v>
      </c>
      <c r="K28" t="str">
        <v>0</v>
      </c>
    </row>
    <row r="29" spans="1:11" x14ac:dyDescent="0.45">
      <c r="G29" s="8" t="s">
        <v>80</v>
      </c>
      <c r="H29" t="str" cm="1">
        <f t="array" ref="H29:K29">_xlfn.TEXTSPLIT(G29, " ")</f>
        <v>4</v>
      </c>
      <c r="I29" t="str">
        <v>Hot_Cloudy</v>
      </c>
      <c r="J29" t="str">
        <v>1.54689</v>
      </c>
      <c r="K29" t="str">
        <v>0</v>
      </c>
    </row>
    <row r="30" spans="1:11" x14ac:dyDescent="0.45">
      <c r="G30" s="8" t="s">
        <v>82</v>
      </c>
      <c r="H30" t="str" cm="1">
        <f t="array" ref="H30:K30">_xlfn.TEXTSPLIT(G30, " ")</f>
        <v>4</v>
      </c>
      <c r="I30" t="str">
        <v>Hot_Hazy</v>
      </c>
      <c r="J30" t="str">
        <v>3.62813</v>
      </c>
      <c r="K30" t="str">
        <v>0</v>
      </c>
    </row>
    <row r="31" spans="1:11" x14ac:dyDescent="0.45">
      <c r="G31" s="8" t="s">
        <v>84</v>
      </c>
      <c r="H31" t="str" cm="1">
        <f t="array" ref="H31:K31">_xlfn.TEXTSPLIT(G31, " ")</f>
        <v>4</v>
      </c>
      <c r="I31" t="str">
        <v>Mild_Balanced</v>
      </c>
      <c r="J31" t="str">
        <v>0.860848</v>
      </c>
      <c r="K31" t="str">
        <v>0</v>
      </c>
    </row>
    <row r="32" spans="1:11" x14ac:dyDescent="0.45">
      <c r="G32" s="8" t="s">
        <v>86</v>
      </c>
      <c r="H32" t="str" cm="1">
        <f t="array" ref="H32:K32">_xlfn.TEXTSPLIT(G32, " ")</f>
        <v>4</v>
      </c>
      <c r="I32" t="str">
        <v>Overcast_Windy</v>
      </c>
      <c r="J32" t="str">
        <v>0</v>
      </c>
      <c r="K32" t="str">
        <v>1.67583</v>
      </c>
    </row>
    <row r="33" spans="7:11" x14ac:dyDescent="0.45">
      <c r="G33" s="8" t="s">
        <v>89</v>
      </c>
      <c r="H33" t="str" cm="1">
        <f t="array" ref="H33:K33">_xlfn.TEXTSPLIT(G33, " ")</f>
        <v>4</v>
      </c>
      <c r="I33" t="str">
        <v>Storm_PM</v>
      </c>
      <c r="J33" t="str">
        <v>1.87481</v>
      </c>
      <c r="K33" t="str">
        <v>0</v>
      </c>
    </row>
    <row r="34" spans="7:11" x14ac:dyDescent="0.45">
      <c r="G34" s="8" t="s">
        <v>91</v>
      </c>
      <c r="H34" t="str" cm="1">
        <f t="array" ref="H34:K34">_xlfn.TEXTSPLIT(G34, " ")</f>
        <v>5</v>
      </c>
      <c r="I34" t="str">
        <v>Clear_Breezy</v>
      </c>
      <c r="J34" t="str">
        <v>0.334</v>
      </c>
      <c r="K34" t="str">
        <v>0</v>
      </c>
    </row>
    <row r="35" spans="7:11" x14ac:dyDescent="0.45">
      <c r="G35" s="8" t="s">
        <v>93</v>
      </c>
      <c r="H35" t="str" cm="1">
        <f t="array" ref="H35:K35">_xlfn.TEXTSPLIT(G35, " ")</f>
        <v>5</v>
      </c>
      <c r="I35" t="str">
        <v>Cloudy_Calm</v>
      </c>
      <c r="J35" t="str">
        <v>3.91</v>
      </c>
      <c r="K35" t="str">
        <v>0</v>
      </c>
    </row>
    <row r="36" spans="7:11" x14ac:dyDescent="0.45">
      <c r="G36" s="8" t="s">
        <v>95</v>
      </c>
      <c r="H36" t="str" cm="1">
        <f t="array" ref="H36:K36">_xlfn.TEXTSPLIT(G36, " ")</f>
        <v>5</v>
      </c>
      <c r="I36" t="str">
        <v>Hot_Clear</v>
      </c>
      <c r="J36" t="str">
        <v>1.93</v>
      </c>
      <c r="K36" t="str">
        <v>0</v>
      </c>
    </row>
    <row r="37" spans="7:11" x14ac:dyDescent="0.45">
      <c r="G37" s="8" t="s">
        <v>97</v>
      </c>
      <c r="H37" t="str" cm="1">
        <f t="array" ref="H37:K37">_xlfn.TEXTSPLIT(G37, " ")</f>
        <v>5</v>
      </c>
      <c r="I37" t="str">
        <v>Hot_Cloudy</v>
      </c>
      <c r="J37" t="str">
        <v>1.758</v>
      </c>
      <c r="K37" t="str">
        <v>0</v>
      </c>
    </row>
    <row r="38" spans="7:11" x14ac:dyDescent="0.45">
      <c r="G38" s="8" t="s">
        <v>99</v>
      </c>
      <c r="H38" t="str" cm="1">
        <f t="array" ref="H38:K38">_xlfn.TEXTSPLIT(G38, " ")</f>
        <v>5</v>
      </c>
      <c r="I38" t="str">
        <v>Hot_Hazy</v>
      </c>
      <c r="J38" t="str">
        <v>3.77</v>
      </c>
      <c r="K38" t="str">
        <v>0</v>
      </c>
    </row>
    <row r="39" spans="7:11" x14ac:dyDescent="0.45">
      <c r="G39" s="8" t="s">
        <v>101</v>
      </c>
      <c r="H39" t="str" cm="1">
        <f t="array" ref="H39:K39">_xlfn.TEXTSPLIT(G39, " ")</f>
        <v>5</v>
      </c>
      <c r="I39" t="str">
        <v>Mild_Balanced</v>
      </c>
      <c r="J39" t="str">
        <v>0.99</v>
      </c>
      <c r="K39" t="str">
        <v>0</v>
      </c>
    </row>
    <row r="40" spans="7:11" x14ac:dyDescent="0.45">
      <c r="G40" s="8" t="s">
        <v>103</v>
      </c>
      <c r="H40" t="str" cm="1">
        <f t="array" ref="H40:K40">_xlfn.TEXTSPLIT(G40, " ")</f>
        <v>5</v>
      </c>
      <c r="I40" t="str">
        <v>Overcast_Windy</v>
      </c>
      <c r="J40" t="str">
        <v>0</v>
      </c>
      <c r="K40" t="str">
        <v>1.344</v>
      </c>
    </row>
    <row r="41" spans="7:11" x14ac:dyDescent="0.45">
      <c r="G41" s="8" t="s">
        <v>106</v>
      </c>
      <c r="H41" t="str" cm="1">
        <f t="array" ref="H41:K41">_xlfn.TEXTSPLIT(G41, " ")</f>
        <v>5</v>
      </c>
      <c r="I41" t="str">
        <v>Storm_PM</v>
      </c>
      <c r="J41" t="str">
        <v>2.022</v>
      </c>
      <c r="K41" t="str">
        <v>0</v>
      </c>
    </row>
    <row r="42" spans="7:11" x14ac:dyDescent="0.45">
      <c r="G42" s="8" t="s">
        <v>108</v>
      </c>
      <c r="H42" t="str" cm="1">
        <f t="array" ref="H42:K42">_xlfn.TEXTSPLIT(G42, " ")</f>
        <v>6</v>
      </c>
      <c r="I42" t="str">
        <v>Clear_Breezy</v>
      </c>
      <c r="J42" t="str">
        <v>1.65</v>
      </c>
      <c r="K42" t="str">
        <v>0</v>
      </c>
    </row>
    <row r="43" spans="7:11" x14ac:dyDescent="0.45">
      <c r="G43" s="8" t="s">
        <v>110</v>
      </c>
      <c r="H43" t="str" cm="1">
        <f t="array" ref="H43:K43">_xlfn.TEXTSPLIT(G43, " ")</f>
        <v>6</v>
      </c>
      <c r="I43" t="str">
        <v>Cloudy_Calm</v>
      </c>
      <c r="J43" t="str">
        <v>4.634</v>
      </c>
      <c r="K43" t="str">
        <v>0</v>
      </c>
    </row>
    <row r="44" spans="7:11" x14ac:dyDescent="0.45">
      <c r="G44" s="8" t="s">
        <v>112</v>
      </c>
      <c r="H44" t="str" cm="1">
        <f t="array" ref="H44:K44">_xlfn.TEXTSPLIT(G44, " ")</f>
        <v>6</v>
      </c>
      <c r="I44" t="str">
        <v>Hot_Clear</v>
      </c>
      <c r="J44" t="str">
        <v>3.02</v>
      </c>
      <c r="K44" t="str">
        <v>0</v>
      </c>
    </row>
    <row r="45" spans="7:11" x14ac:dyDescent="0.45">
      <c r="G45" s="8" t="s">
        <v>114</v>
      </c>
      <c r="H45" t="str" cm="1">
        <f t="array" ref="H45:K45">_xlfn.TEXTSPLIT(G45, " ")</f>
        <v>6</v>
      </c>
      <c r="I45" t="str">
        <v>Hot_Cloudy</v>
      </c>
      <c r="J45" t="str">
        <v>2.928</v>
      </c>
      <c r="K45" t="str">
        <v>0</v>
      </c>
    </row>
    <row r="46" spans="7:11" x14ac:dyDescent="0.45">
      <c r="G46" s="8" t="s">
        <v>116</v>
      </c>
      <c r="H46" t="str" cm="1">
        <f t="array" ref="H46:K46">_xlfn.TEXTSPLIT(G46, " ")</f>
        <v>6</v>
      </c>
      <c r="I46" t="str">
        <v>Hot_Hazy</v>
      </c>
      <c r="J46" t="str">
        <v>4.716</v>
      </c>
      <c r="K46" t="str">
        <v>0</v>
      </c>
    </row>
    <row r="47" spans="7:11" x14ac:dyDescent="0.45">
      <c r="G47" s="8" t="s">
        <v>118</v>
      </c>
      <c r="H47" t="str" cm="1">
        <f t="array" ref="H47:K47">_xlfn.TEXTSPLIT(G47, " ")</f>
        <v>6</v>
      </c>
      <c r="I47" t="str">
        <v>Mild_Balanced</v>
      </c>
      <c r="J47" t="str">
        <v>2.1</v>
      </c>
      <c r="K47" t="str">
        <v>0</v>
      </c>
    </row>
    <row r="48" spans="7:11" x14ac:dyDescent="0.45">
      <c r="G48" s="8" t="s">
        <v>120</v>
      </c>
      <c r="H48" t="str" cm="1">
        <f t="array" ref="H48:K48">_xlfn.TEXTSPLIT(G48, " ")</f>
        <v>6</v>
      </c>
      <c r="I48" t="str">
        <v>Overcast_Windy</v>
      </c>
      <c r="J48" t="str">
        <v>0.144</v>
      </c>
      <c r="K48" t="str">
        <v>0</v>
      </c>
    </row>
    <row r="49" spans="7:11" x14ac:dyDescent="0.45">
      <c r="G49" s="8" t="s">
        <v>123</v>
      </c>
      <c r="H49" t="str" cm="1">
        <f t="array" ref="H49:K49">_xlfn.TEXTSPLIT(G49, " ")</f>
        <v>6</v>
      </c>
      <c r="I49" t="str">
        <v>Storm_PM</v>
      </c>
      <c r="J49" t="str">
        <v>3.064</v>
      </c>
      <c r="K49" t="str">
        <v>0</v>
      </c>
    </row>
    <row r="50" spans="7:11" x14ac:dyDescent="0.45">
      <c r="G50" s="8" t="s">
        <v>125</v>
      </c>
      <c r="H50" t="str" cm="1">
        <f t="array" ref="H50:K50">_xlfn.TEXTSPLIT(G50, " ")</f>
        <v>7</v>
      </c>
      <c r="I50" t="str">
        <v>Clear_Breezy</v>
      </c>
      <c r="J50" t="str">
        <v>3.612</v>
      </c>
      <c r="K50" t="str">
        <v>0</v>
      </c>
    </row>
    <row r="51" spans="7:11" x14ac:dyDescent="0.45">
      <c r="G51" s="8" t="s">
        <v>127</v>
      </c>
      <c r="H51" t="str" cm="1">
        <f t="array" ref="H51:K51">_xlfn.TEXTSPLIT(G51, " ")</f>
        <v>7</v>
      </c>
      <c r="I51" t="str">
        <v>Cloudy_Calm</v>
      </c>
      <c r="J51" t="str">
        <v>6.084</v>
      </c>
      <c r="K51" t="str">
        <v>0</v>
      </c>
    </row>
    <row r="52" spans="7:11" x14ac:dyDescent="0.45">
      <c r="G52" s="8" t="s">
        <v>129</v>
      </c>
      <c r="H52" t="str" cm="1">
        <f t="array" ref="H52:K52">_xlfn.TEXTSPLIT(G52, " ")</f>
        <v>7</v>
      </c>
      <c r="I52" t="str">
        <v>Hot_Clear</v>
      </c>
      <c r="J52" t="str">
        <v>4.89</v>
      </c>
      <c r="K52" t="str">
        <v>0</v>
      </c>
    </row>
    <row r="53" spans="7:11" x14ac:dyDescent="0.45">
      <c r="G53" s="8" t="s">
        <v>131</v>
      </c>
      <c r="H53" t="str" cm="1">
        <f t="array" ref="H53:K53">_xlfn.TEXTSPLIT(G53, " ")</f>
        <v>7</v>
      </c>
      <c r="I53" t="str">
        <v>Hot_Cloudy</v>
      </c>
      <c r="J53" t="str">
        <v>4.892</v>
      </c>
      <c r="K53" t="str">
        <v>0</v>
      </c>
    </row>
    <row r="54" spans="7:11" x14ac:dyDescent="0.45">
      <c r="G54" s="8" t="s">
        <v>133</v>
      </c>
      <c r="H54" t="str" cm="1">
        <f t="array" ref="H54:K54">_xlfn.TEXTSPLIT(G54, " ")</f>
        <v>7</v>
      </c>
      <c r="I54" t="str">
        <v>Hot_Hazy</v>
      </c>
      <c r="J54" t="str">
        <v>6.382</v>
      </c>
      <c r="K54" t="str">
        <v>0</v>
      </c>
    </row>
    <row r="55" spans="7:11" x14ac:dyDescent="0.45">
      <c r="G55" s="8" t="s">
        <v>135</v>
      </c>
      <c r="H55" t="str" cm="1">
        <f t="array" ref="H55:K55">_xlfn.TEXTSPLIT(G55, " ")</f>
        <v>7</v>
      </c>
      <c r="I55" t="str">
        <v>Mild_Balanced</v>
      </c>
      <c r="J55" t="str">
        <v>3.938</v>
      </c>
      <c r="K55" t="str">
        <v>0</v>
      </c>
    </row>
    <row r="56" spans="7:11" x14ac:dyDescent="0.45">
      <c r="G56" s="8" t="s">
        <v>137</v>
      </c>
      <c r="H56" t="str" cm="1">
        <f t="array" ref="H56:K56">_xlfn.TEXTSPLIT(G56, " ")</f>
        <v>7</v>
      </c>
      <c r="I56" t="str">
        <v>Overcast_Windy</v>
      </c>
      <c r="J56" t="str">
        <v>2.196</v>
      </c>
      <c r="K56" t="str">
        <v>0</v>
      </c>
    </row>
    <row r="57" spans="7:11" x14ac:dyDescent="0.45">
      <c r="G57" s="8" t="s">
        <v>140</v>
      </c>
      <c r="H57" t="str" cm="1">
        <f t="array" ref="H57:K57">_xlfn.TEXTSPLIT(G57, " ")</f>
        <v>7</v>
      </c>
      <c r="I57" t="str">
        <v>Storm_PM</v>
      </c>
      <c r="J57" t="str">
        <v>4.698</v>
      </c>
      <c r="K57" t="str">
        <v>0</v>
      </c>
    </row>
    <row r="58" spans="7:11" x14ac:dyDescent="0.45">
      <c r="G58" s="8" t="s">
        <v>142</v>
      </c>
      <c r="H58" t="str" cm="1">
        <f t="array" ref="H58:K58">_xlfn.TEXTSPLIT(G58, " ")</f>
        <v>8</v>
      </c>
      <c r="I58" t="str">
        <v>Clear_Breezy</v>
      </c>
      <c r="J58" t="str">
        <v>5.736</v>
      </c>
      <c r="K58" t="str">
        <v>0</v>
      </c>
    </row>
    <row r="59" spans="7:11" x14ac:dyDescent="0.45">
      <c r="G59" s="8" t="s">
        <v>144</v>
      </c>
      <c r="H59" t="str" cm="1">
        <f t="array" ref="H59:K59">_xlfn.TEXTSPLIT(G59, " ")</f>
        <v>8</v>
      </c>
      <c r="I59" t="str">
        <v>Cloudy_Calm</v>
      </c>
      <c r="J59" t="str">
        <v>7.748</v>
      </c>
      <c r="K59" t="str">
        <v>0</v>
      </c>
    </row>
    <row r="60" spans="7:11" x14ac:dyDescent="0.45">
      <c r="G60" s="8" t="s">
        <v>146</v>
      </c>
      <c r="H60" t="str" cm="1">
        <f t="array" ref="H60:K60">_xlfn.TEXTSPLIT(G60, " ")</f>
        <v>8</v>
      </c>
      <c r="I60" t="str">
        <v>Hot_Clear</v>
      </c>
      <c r="J60" t="str">
        <v>7.08</v>
      </c>
      <c r="K60" t="str">
        <v>0</v>
      </c>
    </row>
    <row r="61" spans="7:11" x14ac:dyDescent="0.45">
      <c r="G61" s="8" t="s">
        <v>148</v>
      </c>
      <c r="H61" t="str" cm="1">
        <f t="array" ref="H61:K61">_xlfn.TEXTSPLIT(G61, " ")</f>
        <v>8</v>
      </c>
      <c r="I61" t="str">
        <v>Hot_Cloudy</v>
      </c>
      <c r="J61" t="str">
        <v>7.148</v>
      </c>
      <c r="K61" t="str">
        <v>0</v>
      </c>
    </row>
    <row r="62" spans="7:11" x14ac:dyDescent="0.45">
      <c r="G62" s="8" t="s">
        <v>150</v>
      </c>
      <c r="H62" t="str" cm="1">
        <f t="array" ref="H62:K62">_xlfn.TEXTSPLIT(G62, " ")</f>
        <v>8</v>
      </c>
      <c r="I62" t="str">
        <v>Hot_Hazy</v>
      </c>
      <c r="J62" t="str">
        <v>8.378</v>
      </c>
      <c r="K62" t="str">
        <v>0</v>
      </c>
    </row>
    <row r="63" spans="7:11" x14ac:dyDescent="0.45">
      <c r="G63" s="8" t="s">
        <v>152</v>
      </c>
      <c r="H63" t="str" cm="1">
        <f t="array" ref="H63:K63">_xlfn.TEXTSPLIT(G63, " ")</f>
        <v>8</v>
      </c>
      <c r="I63" t="str">
        <v>Mild_Balanced</v>
      </c>
      <c r="J63" t="str">
        <v>5.864</v>
      </c>
      <c r="K63" t="str">
        <v>0</v>
      </c>
    </row>
    <row r="64" spans="7:11" x14ac:dyDescent="0.45">
      <c r="G64" s="8" t="s">
        <v>154</v>
      </c>
      <c r="H64" t="str" cm="1">
        <f t="array" ref="H64:K64">_xlfn.TEXTSPLIT(G64, " ")</f>
        <v>8</v>
      </c>
      <c r="I64" t="str">
        <v>Overcast_Windy</v>
      </c>
      <c r="J64" t="str">
        <v>4.41</v>
      </c>
      <c r="K64" t="str">
        <v>0</v>
      </c>
    </row>
    <row r="65" spans="7:11" x14ac:dyDescent="0.45">
      <c r="G65" s="8" t="s">
        <v>157</v>
      </c>
      <c r="H65" t="str" cm="1">
        <f t="array" ref="H65:K65">_xlfn.TEXTSPLIT(G65, " ")</f>
        <v>8</v>
      </c>
      <c r="I65" t="str">
        <v>Storm_PM</v>
      </c>
      <c r="J65" t="str">
        <v>6.64</v>
      </c>
      <c r="K65" t="str">
        <v>0</v>
      </c>
    </row>
    <row r="66" spans="7:11" x14ac:dyDescent="0.45">
      <c r="G66" s="8" t="s">
        <v>159</v>
      </c>
      <c r="H66" t="str" cm="1">
        <f t="array" ref="H66:K66">_xlfn.TEXTSPLIT(G66, " ")</f>
        <v>9</v>
      </c>
      <c r="I66" t="str">
        <v>Clear_Breezy</v>
      </c>
      <c r="J66" t="str">
        <v>2.562</v>
      </c>
      <c r="K66" t="str">
        <v>0</v>
      </c>
    </row>
    <row r="67" spans="7:11" x14ac:dyDescent="0.45">
      <c r="G67" s="8" t="s">
        <v>161</v>
      </c>
      <c r="H67" t="str" cm="1">
        <f t="array" ref="H67:K67">_xlfn.TEXTSPLIT(G67, " ")</f>
        <v>9</v>
      </c>
      <c r="I67" t="str">
        <v>Cloudy_Calm</v>
      </c>
      <c r="J67" t="str">
        <v>6.616</v>
      </c>
      <c r="K67" t="str">
        <v>0</v>
      </c>
    </row>
    <row r="68" spans="7:11" x14ac:dyDescent="0.45">
      <c r="G68" s="8" t="s">
        <v>163</v>
      </c>
      <c r="H68" t="str" cm="1">
        <f t="array" ref="H68:K68">_xlfn.TEXTSPLIT(G68, " ")</f>
        <v>9</v>
      </c>
      <c r="I68" t="str">
        <v>Hot_Clear</v>
      </c>
      <c r="J68" t="str">
        <v>4.02</v>
      </c>
      <c r="K68" t="str">
        <v>0</v>
      </c>
    </row>
    <row r="69" spans="7:11" x14ac:dyDescent="0.45">
      <c r="G69" s="8" t="s">
        <v>165</v>
      </c>
      <c r="H69" t="str" cm="1">
        <f t="array" ref="H69:K69">_xlfn.TEXTSPLIT(G69, " ")</f>
        <v>9</v>
      </c>
      <c r="I69" t="str">
        <v>Hot_Cloudy</v>
      </c>
      <c r="J69" t="str">
        <v>6.06</v>
      </c>
      <c r="K69" t="str">
        <v>0</v>
      </c>
    </row>
    <row r="70" spans="7:11" x14ac:dyDescent="0.45">
      <c r="G70" s="8" t="s">
        <v>167</v>
      </c>
      <c r="H70" t="str" cm="1">
        <f t="array" ref="H70:K70">_xlfn.TEXTSPLIT(G70, " ")</f>
        <v>9</v>
      </c>
      <c r="I70" t="str">
        <v>Hot_Hazy</v>
      </c>
      <c r="J70" t="str">
        <v>5.678</v>
      </c>
      <c r="K70" t="str">
        <v>0</v>
      </c>
    </row>
    <row r="71" spans="7:11" x14ac:dyDescent="0.45">
      <c r="G71" s="8" t="s">
        <v>169</v>
      </c>
      <c r="H71" t="str" cm="1">
        <f t="array" ref="H71:K71">_xlfn.TEXTSPLIT(G71, " ")</f>
        <v>9</v>
      </c>
      <c r="I71" t="str">
        <v>Mild_Balanced</v>
      </c>
      <c r="J71" t="str">
        <v>2.944</v>
      </c>
      <c r="K71" t="str">
        <v>0</v>
      </c>
    </row>
    <row r="72" spans="7:11" x14ac:dyDescent="0.45">
      <c r="G72" s="8" t="s">
        <v>171</v>
      </c>
      <c r="H72" t="str" cm="1">
        <f t="array" ref="H72:K72">_xlfn.TEXTSPLIT(G72, " ")</f>
        <v>9</v>
      </c>
      <c r="I72" t="str">
        <v>Overcast_Windy</v>
      </c>
      <c r="J72" t="str">
        <v>4.47</v>
      </c>
      <c r="K72" t="str">
        <v>0</v>
      </c>
    </row>
    <row r="73" spans="7:11" x14ac:dyDescent="0.45">
      <c r="G73" s="8" t="s">
        <v>173</v>
      </c>
      <c r="H73" t="str" cm="1">
        <f t="array" ref="H73:K73">_xlfn.TEXTSPLIT(G73, " ")</f>
        <v>9</v>
      </c>
      <c r="I73" t="str">
        <v>Storm_PM</v>
      </c>
      <c r="J73" t="str">
        <v>3.528</v>
      </c>
      <c r="K73" t="str">
        <v>0</v>
      </c>
    </row>
    <row r="74" spans="7:11" x14ac:dyDescent="0.45">
      <c r="G74" s="8" t="s">
        <v>175</v>
      </c>
      <c r="H74" t="str" cm="1">
        <f t="array" ref="H74:K74">_xlfn.TEXTSPLIT(G74, " ")</f>
        <v>10</v>
      </c>
      <c r="I74" t="str">
        <v>Clear_Breezy</v>
      </c>
      <c r="J74" t="str">
        <v>0</v>
      </c>
      <c r="K74" t="str">
        <v>0</v>
      </c>
    </row>
    <row r="75" spans="7:11" x14ac:dyDescent="0.45">
      <c r="G75" s="8" t="s">
        <v>177</v>
      </c>
      <c r="H75" t="str" cm="1">
        <f t="array" ref="H75:K75">_xlfn.TEXTSPLIT(G75, " ")</f>
        <v>10</v>
      </c>
      <c r="I75" t="str">
        <v>Cloudy_Calm</v>
      </c>
      <c r="J75" t="str">
        <v>5.50408</v>
      </c>
      <c r="K75" t="str">
        <v>0</v>
      </c>
    </row>
    <row r="76" spans="7:11" x14ac:dyDescent="0.45">
      <c r="G76" s="8" t="s">
        <v>179</v>
      </c>
      <c r="H76" t="str" cm="1">
        <f t="array" ref="H76:K76">_xlfn.TEXTSPLIT(G76, " ")</f>
        <v>10</v>
      </c>
      <c r="I76" t="str">
        <v>Hot_Clear</v>
      </c>
      <c r="J76" t="str">
        <v>1.7104</v>
      </c>
      <c r="K76" t="str">
        <v>0</v>
      </c>
    </row>
    <row r="77" spans="7:11" x14ac:dyDescent="0.45">
      <c r="G77" s="8" t="s">
        <v>181</v>
      </c>
      <c r="H77" t="str" cm="1">
        <f t="array" ref="H77:K77">_xlfn.TEXTSPLIT(G77, " ")</f>
        <v>10</v>
      </c>
      <c r="I77" t="str">
        <v>Hot_Cloudy</v>
      </c>
      <c r="J77" t="str">
        <v>5.2604</v>
      </c>
      <c r="K77" t="str">
        <v>0</v>
      </c>
    </row>
    <row r="78" spans="7:11" x14ac:dyDescent="0.45">
      <c r="G78" s="8" t="s">
        <v>183</v>
      </c>
      <c r="H78" t="str" cm="1">
        <f t="array" ref="H78:K78">_xlfn.TEXTSPLIT(G78, " ")</f>
        <v>10</v>
      </c>
      <c r="I78" t="str">
        <v>Hot_Hazy</v>
      </c>
      <c r="J78" t="str">
        <v>3.38152</v>
      </c>
      <c r="K78" t="str">
        <v>0</v>
      </c>
    </row>
    <row r="79" spans="7:11" x14ac:dyDescent="0.45">
      <c r="G79" s="8" t="s">
        <v>185</v>
      </c>
      <c r="H79" t="str" cm="1">
        <f t="array" ref="H79:K79">_xlfn.TEXTSPLIT(G79, " ")</f>
        <v>10</v>
      </c>
      <c r="I79" t="str">
        <v>Mild_Balanced</v>
      </c>
      <c r="J79" t="str">
        <v>0.49648</v>
      </c>
      <c r="K79" t="str">
        <v>0</v>
      </c>
    </row>
    <row r="80" spans="7:11" x14ac:dyDescent="0.45">
      <c r="G80" s="8" t="s">
        <v>187</v>
      </c>
      <c r="H80" t="str" cm="1">
        <f t="array" ref="H80:K80">_xlfn.TEXTSPLIT(G80, " ")</f>
        <v>10</v>
      </c>
      <c r="I80" t="str">
        <v>Overcast_Windy</v>
      </c>
      <c r="J80" t="str">
        <v>4.60928</v>
      </c>
      <c r="K80" t="str">
        <v>0</v>
      </c>
    </row>
    <row r="81" spans="7:11" x14ac:dyDescent="0.45">
      <c r="G81" s="8" t="s">
        <v>190</v>
      </c>
      <c r="H81" t="str" cm="1">
        <f t="array" ref="H81:K81">_xlfn.TEXTSPLIT(G81, " ")</f>
        <v>10</v>
      </c>
      <c r="I81" t="str">
        <v>Storm_PM</v>
      </c>
      <c r="J81" t="str">
        <v>1.40784</v>
      </c>
      <c r="K81" t="str">
        <v>0</v>
      </c>
    </row>
    <row r="82" spans="7:11" x14ac:dyDescent="0.45">
      <c r="G82" s="8" t="s">
        <v>192</v>
      </c>
      <c r="H82" t="str" cm="1">
        <f t="array" ref="H82:K82">_xlfn.TEXTSPLIT(G82, " ")</f>
        <v>11</v>
      </c>
      <c r="I82" t="str">
        <v>Clear_Breezy</v>
      </c>
      <c r="J82" t="str">
        <v>0</v>
      </c>
      <c r="K82" t="str">
        <v>0.39</v>
      </c>
    </row>
    <row r="83" spans="7:11" x14ac:dyDescent="0.45">
      <c r="G83" s="8" t="s">
        <v>194</v>
      </c>
      <c r="H83" t="str" cm="1">
        <f t="array" ref="H83:K83">_xlfn.TEXTSPLIT(G83, " ")</f>
        <v>11</v>
      </c>
      <c r="I83" t="str">
        <v>Cloudy_Calm</v>
      </c>
      <c r="J83" t="str">
        <v>5.94</v>
      </c>
      <c r="K83" t="str">
        <v>0</v>
      </c>
    </row>
    <row r="84" spans="7:11" x14ac:dyDescent="0.45">
      <c r="G84" s="8" t="s">
        <v>196</v>
      </c>
      <c r="H84" t="str" cm="1">
        <f t="array" ref="H84:K84">_xlfn.TEXTSPLIT(G84, " ")</f>
        <v>11</v>
      </c>
      <c r="I84" t="str">
        <v>Hot_Clear</v>
      </c>
      <c r="J84" t="str">
        <v>1.5</v>
      </c>
      <c r="K84" t="str">
        <v>0</v>
      </c>
    </row>
    <row r="85" spans="7:11" x14ac:dyDescent="0.45">
      <c r="G85" s="8" t="s">
        <v>198</v>
      </c>
      <c r="H85" t="str" cm="1">
        <f t="array" ref="H85:K85">_xlfn.TEXTSPLIT(G85, " ")</f>
        <v>11</v>
      </c>
      <c r="I85" t="str">
        <v>Hot_Cloudy</v>
      </c>
      <c r="J85" t="str">
        <v>6.4</v>
      </c>
      <c r="K85" t="str">
        <v>0</v>
      </c>
    </row>
    <row r="86" spans="7:11" x14ac:dyDescent="0.45">
      <c r="G86" s="8" t="s">
        <v>200</v>
      </c>
      <c r="H86" t="str" cm="1">
        <f t="array" ref="H86:K86">_xlfn.TEXTSPLIT(G86, " ")</f>
        <v>11</v>
      </c>
      <c r="I86" t="str">
        <v>Hot_Hazy</v>
      </c>
      <c r="J86" t="str">
        <v>2.58</v>
      </c>
      <c r="K86" t="str">
        <v>0</v>
      </c>
    </row>
    <row r="87" spans="7:11" x14ac:dyDescent="0.45">
      <c r="G87" s="8" t="s">
        <v>202</v>
      </c>
      <c r="H87" t="str" cm="1">
        <f t="array" ref="H87:K87">_xlfn.TEXTSPLIT(G87, " ")</f>
        <v>11</v>
      </c>
      <c r="I87" t="str">
        <v>Mild_Balanced</v>
      </c>
      <c r="J87" t="str">
        <v>0.24</v>
      </c>
      <c r="K87" t="str">
        <v>0</v>
      </c>
    </row>
    <row r="88" spans="7:11" x14ac:dyDescent="0.45">
      <c r="G88" s="8" t="s">
        <v>204</v>
      </c>
      <c r="H88" t="str" cm="1">
        <f t="array" ref="H88:K88">_xlfn.TEXTSPLIT(G88, " ")</f>
        <v>11</v>
      </c>
      <c r="I88" t="str">
        <v>Overcast_Windy</v>
      </c>
      <c r="J88" t="str">
        <v>7.24</v>
      </c>
      <c r="K88" t="str">
        <v>0</v>
      </c>
    </row>
    <row r="89" spans="7:11" x14ac:dyDescent="0.45">
      <c r="G89" s="8" t="s">
        <v>207</v>
      </c>
      <c r="H89" t="str" cm="1">
        <f t="array" ref="H89:K89">_xlfn.TEXTSPLIT(G89, " ")</f>
        <v>11</v>
      </c>
      <c r="I89" t="str">
        <v>Storm_PM</v>
      </c>
      <c r="J89" t="str">
        <v>2.65</v>
      </c>
      <c r="K89" t="str">
        <v>0</v>
      </c>
    </row>
    <row r="90" spans="7:11" x14ac:dyDescent="0.45">
      <c r="G90" s="8" t="s">
        <v>209</v>
      </c>
      <c r="H90" t="str" cm="1">
        <f t="array" ref="H90:K90">_xlfn.TEXTSPLIT(G90, " ")</f>
        <v>12</v>
      </c>
      <c r="I90" t="str">
        <v>Clear_Breezy</v>
      </c>
      <c r="J90" t="str">
        <v>0</v>
      </c>
      <c r="K90" t="str">
        <v>3.05</v>
      </c>
    </row>
    <row r="91" spans="7:11" x14ac:dyDescent="0.45">
      <c r="G91" s="8" t="s">
        <v>211</v>
      </c>
      <c r="H91" t="str" cm="1">
        <f t="array" ref="H91:K91">_xlfn.TEXTSPLIT(G91, " ")</f>
        <v>12</v>
      </c>
      <c r="I91" t="str">
        <v>Cloudy_Calm</v>
      </c>
      <c r="J91" t="str">
        <v>4.46</v>
      </c>
      <c r="K91" t="str">
        <v>0</v>
      </c>
    </row>
    <row r="92" spans="7:11" x14ac:dyDescent="0.45">
      <c r="G92" s="8" t="s">
        <v>213</v>
      </c>
      <c r="H92" t="str" cm="1">
        <f t="array" ref="H92:K92">_xlfn.TEXTSPLIT(G92, " ")</f>
        <v>12</v>
      </c>
      <c r="I92" t="str">
        <v>Hot_Clear</v>
      </c>
      <c r="J92" t="str">
        <v>0</v>
      </c>
      <c r="K92" t="str">
        <v>0.79</v>
      </c>
    </row>
    <row r="93" spans="7:11" x14ac:dyDescent="0.45">
      <c r="G93" s="8" t="s">
        <v>215</v>
      </c>
      <c r="H93" t="str" cm="1">
        <f t="array" ref="H93:K93">_xlfn.TEXTSPLIT(G93, " ")</f>
        <v>12</v>
      </c>
      <c r="I93" t="str">
        <v>Hot_Cloudy</v>
      </c>
      <c r="J93" t="str">
        <v>4.94</v>
      </c>
      <c r="K93" t="str">
        <v>0</v>
      </c>
    </row>
    <row r="94" spans="7:11" x14ac:dyDescent="0.45">
      <c r="G94" s="8" t="s">
        <v>217</v>
      </c>
      <c r="H94" t="str" cm="1">
        <f t="array" ref="H94:K94">_xlfn.TEXTSPLIT(G94, " ")</f>
        <v>12</v>
      </c>
      <c r="I94" t="str">
        <v>Hot_Hazy</v>
      </c>
      <c r="J94" t="str">
        <v>0.49</v>
      </c>
      <c r="K94" t="str">
        <v>0</v>
      </c>
    </row>
    <row r="95" spans="7:11" x14ac:dyDescent="0.45">
      <c r="G95" s="8" t="s">
        <v>219</v>
      </c>
      <c r="H95" t="str" cm="1">
        <f t="array" ref="H95:K95">_xlfn.TEXTSPLIT(G95, " ")</f>
        <v>12</v>
      </c>
      <c r="I95" t="str">
        <v>Mild_Balanced</v>
      </c>
      <c r="J95" t="str">
        <v>0</v>
      </c>
      <c r="K95" t="str">
        <v>2.32</v>
      </c>
    </row>
    <row r="96" spans="7:11" x14ac:dyDescent="0.45">
      <c r="G96" s="8" t="s">
        <v>221</v>
      </c>
      <c r="H96" t="str" cm="1">
        <f t="array" ref="H96:K96">_xlfn.TEXTSPLIT(G96, " ")</f>
        <v>12</v>
      </c>
      <c r="I96" t="str">
        <v>Overcast_Windy</v>
      </c>
      <c r="J96" t="str">
        <v>6.38</v>
      </c>
      <c r="K96" t="str">
        <v>0</v>
      </c>
    </row>
    <row r="97" spans="7:11" x14ac:dyDescent="0.45">
      <c r="G97" s="8" t="s">
        <v>224</v>
      </c>
      <c r="H97" t="str" cm="1">
        <f t="array" ref="H97:K97">_xlfn.TEXTSPLIT(G97, " ")</f>
        <v>12</v>
      </c>
      <c r="I97" t="str">
        <v>Storm_PM</v>
      </c>
      <c r="J97" t="str">
        <v>2.95</v>
      </c>
      <c r="K97" t="str">
        <v>0</v>
      </c>
    </row>
    <row r="98" spans="7:11" x14ac:dyDescent="0.45">
      <c r="G98" s="8" t="s">
        <v>226</v>
      </c>
      <c r="H98" t="str" cm="1">
        <f t="array" ref="H98:K98">_xlfn.TEXTSPLIT(G98, " ")</f>
        <v>13</v>
      </c>
      <c r="I98" t="str">
        <v>Clear_Breezy</v>
      </c>
      <c r="J98" t="str">
        <v>0</v>
      </c>
      <c r="K98" t="str">
        <v>4.12</v>
      </c>
    </row>
    <row r="99" spans="7:11" x14ac:dyDescent="0.45">
      <c r="G99" s="8" t="s">
        <v>228</v>
      </c>
      <c r="H99" t="str" cm="1">
        <f t="array" ref="H99:K99">_xlfn.TEXTSPLIT(G99, " ")</f>
        <v>13</v>
      </c>
      <c r="I99" t="str">
        <v>Cloudy_Calm</v>
      </c>
      <c r="J99" t="str">
        <v>4.1</v>
      </c>
      <c r="K99" t="str">
        <v>0</v>
      </c>
    </row>
    <row r="100" spans="7:11" x14ac:dyDescent="0.45">
      <c r="G100" s="8" t="s">
        <v>230</v>
      </c>
      <c r="H100" t="str" cm="1">
        <f t="array" ref="H100:K100">_xlfn.TEXTSPLIT(G100, " ")</f>
        <v>13</v>
      </c>
      <c r="I100" t="str">
        <v>Hot_Clear</v>
      </c>
      <c r="J100" t="str">
        <v>0</v>
      </c>
      <c r="K100" t="str">
        <v>1.57</v>
      </c>
    </row>
    <row r="101" spans="7:11" x14ac:dyDescent="0.45">
      <c r="G101" s="8" t="s">
        <v>231</v>
      </c>
      <c r="H101" t="str" cm="1">
        <f t="array" ref="H101:K101">_xlfn.TEXTSPLIT(G101, " ")</f>
        <v>13</v>
      </c>
      <c r="I101" t="str">
        <v>Hot_Cloudy</v>
      </c>
      <c r="J101" t="str">
        <v>4.34</v>
      </c>
      <c r="K101" t="str">
        <v>0</v>
      </c>
    </row>
    <row r="102" spans="7:11" x14ac:dyDescent="0.45">
      <c r="G102" s="8" t="s">
        <v>233</v>
      </c>
      <c r="H102" t="str" cm="1">
        <f t="array" ref="H102:K102">_xlfn.TEXTSPLIT(G102, " ")</f>
        <v>13</v>
      </c>
      <c r="I102" t="str">
        <v>Hot_Hazy</v>
      </c>
      <c r="J102" t="str">
        <v>0</v>
      </c>
      <c r="K102" t="str">
        <v>0</v>
      </c>
    </row>
    <row r="103" spans="7:11" x14ac:dyDescent="0.45">
      <c r="G103" s="8" t="s">
        <v>235</v>
      </c>
      <c r="H103" t="str" cm="1">
        <f t="array" ref="H103:K103">_xlfn.TEXTSPLIT(G103, " ")</f>
        <v>13</v>
      </c>
      <c r="I103" t="str">
        <v>Mild_Balanced</v>
      </c>
      <c r="J103" t="str">
        <v>0</v>
      </c>
      <c r="K103" t="str">
        <v>3.45</v>
      </c>
    </row>
    <row r="104" spans="7:11" x14ac:dyDescent="0.45">
      <c r="G104" s="8" t="s">
        <v>237</v>
      </c>
      <c r="H104" t="str" cm="1">
        <f t="array" ref="H104:K104">_xlfn.TEXTSPLIT(G104, " ")</f>
        <v>13</v>
      </c>
      <c r="I104" t="str">
        <v>Overcast_Windy</v>
      </c>
      <c r="J104" t="str">
        <v>5.95</v>
      </c>
      <c r="K104" t="str">
        <v>0</v>
      </c>
    </row>
    <row r="105" spans="7:11" x14ac:dyDescent="0.45">
      <c r="G105" s="8" t="s">
        <v>239</v>
      </c>
      <c r="H105" t="str" cm="1">
        <f t="array" ref="H105:K105">_xlfn.TEXTSPLIT(G105, " ")</f>
        <v>13</v>
      </c>
      <c r="I105" t="str">
        <v>Storm_PM</v>
      </c>
      <c r="J105" t="str">
        <v>6.79</v>
      </c>
      <c r="K105" t="str">
        <v>0</v>
      </c>
    </row>
    <row r="106" spans="7:11" x14ac:dyDescent="0.45">
      <c r="G106" s="8" t="s">
        <v>241</v>
      </c>
      <c r="H106" t="str" cm="1">
        <f t="array" ref="H106:K106">_xlfn.TEXTSPLIT(G106, " ")</f>
        <v>14</v>
      </c>
      <c r="I106" t="str">
        <v>Clear_Breezy</v>
      </c>
      <c r="J106" t="str">
        <v>0</v>
      </c>
      <c r="K106" t="str">
        <v>3.77</v>
      </c>
    </row>
    <row r="107" spans="7:11" x14ac:dyDescent="0.45">
      <c r="G107" s="8" t="s">
        <v>243</v>
      </c>
      <c r="H107" t="str" cm="1">
        <f t="array" ref="H107:K107">_xlfn.TEXTSPLIT(G107, " ")</f>
        <v>14</v>
      </c>
      <c r="I107" t="str">
        <v>Cloudy_Calm</v>
      </c>
      <c r="J107" t="str">
        <v>4.64</v>
      </c>
      <c r="K107" t="str">
        <v>0</v>
      </c>
    </row>
    <row r="108" spans="7:11" x14ac:dyDescent="0.45">
      <c r="G108" s="8" t="s">
        <v>244</v>
      </c>
      <c r="H108" t="str" cm="1">
        <f t="array" ref="H108:K108">_xlfn.TEXTSPLIT(G108, " ")</f>
        <v>14</v>
      </c>
      <c r="I108" t="str">
        <v>Hot_Clear</v>
      </c>
      <c r="J108" t="str">
        <v>0</v>
      </c>
      <c r="K108" t="str">
        <v>1.15</v>
      </c>
    </row>
    <row r="109" spans="7:11" x14ac:dyDescent="0.45">
      <c r="G109" s="8" t="s">
        <v>246</v>
      </c>
      <c r="H109" t="str" cm="1">
        <f t="array" ref="H109:K109">_xlfn.TEXTSPLIT(G109, " ")</f>
        <v>14</v>
      </c>
      <c r="I109" t="str">
        <v>Hot_Cloudy</v>
      </c>
      <c r="J109" t="str">
        <v>4.89</v>
      </c>
      <c r="K109" t="str">
        <v>0</v>
      </c>
    </row>
    <row r="110" spans="7:11" x14ac:dyDescent="0.45">
      <c r="G110" s="8" t="s">
        <v>248</v>
      </c>
      <c r="H110" t="str" cm="1">
        <f t="array" ref="H110:K110">_xlfn.TEXTSPLIT(G110, " ")</f>
        <v>14</v>
      </c>
      <c r="I110" t="str">
        <v>Hot_Hazy</v>
      </c>
      <c r="J110" t="str">
        <v>0.66</v>
      </c>
      <c r="K110" t="str">
        <v>0</v>
      </c>
    </row>
    <row r="111" spans="7:11" x14ac:dyDescent="0.45">
      <c r="G111" s="8" t="s">
        <v>250</v>
      </c>
      <c r="H111" t="str" cm="1">
        <f t="array" ref="H111:K111">_xlfn.TEXTSPLIT(G111, " ")</f>
        <v>14</v>
      </c>
      <c r="I111" t="str">
        <v>Mild_Balanced</v>
      </c>
      <c r="J111" t="str">
        <v>0</v>
      </c>
      <c r="K111" t="str">
        <v>3.23</v>
      </c>
    </row>
    <row r="112" spans="7:11" x14ac:dyDescent="0.45">
      <c r="G112" s="8" t="s">
        <v>252</v>
      </c>
      <c r="H112" t="str" cm="1">
        <f t="array" ref="H112:K112">_xlfn.TEXTSPLIT(G112, " ")</f>
        <v>14</v>
      </c>
      <c r="I112" t="str">
        <v>Overcast_Windy</v>
      </c>
      <c r="J112" t="str">
        <v>6.18</v>
      </c>
      <c r="K112" t="str">
        <v>0</v>
      </c>
    </row>
    <row r="113" spans="7:11" x14ac:dyDescent="0.45">
      <c r="G113" s="8" t="s">
        <v>255</v>
      </c>
      <c r="H113" t="str" cm="1">
        <f t="array" ref="H113:K113">_xlfn.TEXTSPLIT(G113, " ")</f>
        <v>14</v>
      </c>
      <c r="I113" t="str">
        <v>Storm_PM</v>
      </c>
      <c r="J113" t="str">
        <v>11.13</v>
      </c>
      <c r="K113" t="str">
        <v>0</v>
      </c>
    </row>
    <row r="114" spans="7:11" x14ac:dyDescent="0.45">
      <c r="G114" s="8" t="s">
        <v>257</v>
      </c>
      <c r="H114" t="str" cm="1">
        <f t="array" ref="H114:K114">_xlfn.TEXTSPLIT(G114, " ")</f>
        <v>15</v>
      </c>
      <c r="I114" t="str">
        <v>Clear_Breezy</v>
      </c>
      <c r="J114" t="str">
        <v>0</v>
      </c>
      <c r="K114" t="str">
        <v>2.84</v>
      </c>
    </row>
    <row r="115" spans="7:11" x14ac:dyDescent="0.45">
      <c r="G115" s="8" t="s">
        <v>258</v>
      </c>
      <c r="H115" t="str" cm="1">
        <f t="array" ref="H115:K115">_xlfn.TEXTSPLIT(G115, " ")</f>
        <v>15</v>
      </c>
      <c r="I115" t="str">
        <v>Cloudy_Calm</v>
      </c>
      <c r="J115" t="str">
        <v>5.526</v>
      </c>
      <c r="K115" t="str">
        <v>0</v>
      </c>
    </row>
    <row r="116" spans="7:11" x14ac:dyDescent="0.45">
      <c r="G116" s="8" t="s">
        <v>260</v>
      </c>
      <c r="H116" t="str" cm="1">
        <f t="array" ref="H116:K116">_xlfn.TEXTSPLIT(G116, " ")</f>
        <v>15</v>
      </c>
      <c r="I116" t="str">
        <v>Hot_Clear</v>
      </c>
      <c r="J116" t="str">
        <v>0</v>
      </c>
      <c r="K116" t="str">
        <v>0</v>
      </c>
    </row>
    <row r="117" spans="7:11" x14ac:dyDescent="0.45">
      <c r="G117" s="8" t="s">
        <v>262</v>
      </c>
      <c r="H117" t="str" cm="1">
        <f t="array" ref="H117:K117">_xlfn.TEXTSPLIT(G117, " ")</f>
        <v>15</v>
      </c>
      <c r="I117" t="str">
        <v>Hot_Cloudy</v>
      </c>
      <c r="J117" t="str">
        <v>6.134</v>
      </c>
      <c r="K117" t="str">
        <v>0</v>
      </c>
    </row>
    <row r="118" spans="7:11" x14ac:dyDescent="0.45">
      <c r="G118" s="8" t="s">
        <v>264</v>
      </c>
      <c r="H118" t="str" cm="1">
        <f t="array" ref="H118:K118">_xlfn.TEXTSPLIT(G118, " ")</f>
        <v>15</v>
      </c>
      <c r="I118" t="str">
        <v>Hot_Hazy</v>
      </c>
      <c r="J118" t="str">
        <v>2.176</v>
      </c>
      <c r="K118" t="str">
        <v>0</v>
      </c>
    </row>
    <row r="119" spans="7:11" x14ac:dyDescent="0.45">
      <c r="G119" s="8" t="s">
        <v>266</v>
      </c>
      <c r="H119" t="str" cm="1">
        <f t="array" ref="H119:K119">_xlfn.TEXTSPLIT(G119, " ")</f>
        <v>15</v>
      </c>
      <c r="I119" t="str">
        <v>Mild_Balanced</v>
      </c>
      <c r="J119" t="str">
        <v>0</v>
      </c>
      <c r="K119" t="str">
        <v>2.368</v>
      </c>
    </row>
    <row r="120" spans="7:11" x14ac:dyDescent="0.45">
      <c r="G120" s="8" t="s">
        <v>268</v>
      </c>
      <c r="H120" t="str" cm="1">
        <f t="array" ref="H120:K120">_xlfn.TEXTSPLIT(G120, " ")</f>
        <v>15</v>
      </c>
      <c r="I120" t="str">
        <v>Overcast_Windy</v>
      </c>
      <c r="J120" t="str">
        <v>6.558</v>
      </c>
      <c r="K120" t="str">
        <v>0</v>
      </c>
    </row>
    <row r="121" spans="7:11" x14ac:dyDescent="0.45">
      <c r="G121" s="8" t="s">
        <v>271</v>
      </c>
      <c r="H121" t="str" cm="1">
        <f t="array" ref="H121:K121">_xlfn.TEXTSPLIT(G121, " ")</f>
        <v>15</v>
      </c>
      <c r="I121" t="str">
        <v>Storm_PM</v>
      </c>
      <c r="J121" t="str">
        <v>11.646</v>
      </c>
      <c r="K121" t="str">
        <v>0</v>
      </c>
    </row>
    <row r="122" spans="7:11" x14ac:dyDescent="0.45">
      <c r="G122" s="8" t="s">
        <v>273</v>
      </c>
      <c r="H122" t="str" cm="1">
        <f t="array" ref="H122:K122">_xlfn.TEXTSPLIT(G122, " ")</f>
        <v>16</v>
      </c>
      <c r="I122" t="str">
        <v>Clear_Breezy</v>
      </c>
      <c r="J122" t="str">
        <v>0</v>
      </c>
      <c r="K122" t="str">
        <v>2.718</v>
      </c>
    </row>
    <row r="123" spans="7:11" x14ac:dyDescent="0.45">
      <c r="G123" s="8" t="s">
        <v>275</v>
      </c>
      <c r="H123" t="str" cm="1">
        <f t="array" ref="H123:K123">_xlfn.TEXTSPLIT(G123, " ")</f>
        <v>16</v>
      </c>
      <c r="I123" t="str">
        <v>Cloudy_Calm</v>
      </c>
      <c r="J123" t="str">
        <v>5.824</v>
      </c>
      <c r="K123" t="str">
        <v>0</v>
      </c>
    </row>
    <row r="124" spans="7:11" x14ac:dyDescent="0.45">
      <c r="G124" s="8" t="s">
        <v>277</v>
      </c>
      <c r="H124" t="str" cm="1">
        <f t="array" ref="H124:K124">_xlfn.TEXTSPLIT(G124, " ")</f>
        <v>16</v>
      </c>
      <c r="I124" t="str">
        <v>Hot_Clear</v>
      </c>
      <c r="J124" t="str">
        <v>0.43</v>
      </c>
      <c r="K124" t="str">
        <v>0</v>
      </c>
    </row>
    <row r="125" spans="7:11" x14ac:dyDescent="0.45">
      <c r="G125" s="8" t="s">
        <v>279</v>
      </c>
      <c r="H125" t="str" cm="1">
        <f t="array" ref="H125:K125">_xlfn.TEXTSPLIT(G125, " ")</f>
        <v>16</v>
      </c>
      <c r="I125" t="str">
        <v>Hot_Cloudy</v>
      </c>
      <c r="J125" t="str">
        <v>5.908</v>
      </c>
      <c r="K125" t="str">
        <v>0</v>
      </c>
    </row>
    <row r="126" spans="7:11" x14ac:dyDescent="0.45">
      <c r="G126" s="8" t="s">
        <v>281</v>
      </c>
      <c r="H126" t="str" cm="1">
        <f t="array" ref="H126:K126">_xlfn.TEXTSPLIT(G126, " ")</f>
        <v>16</v>
      </c>
      <c r="I126" t="str">
        <v>Hot_Hazy</v>
      </c>
      <c r="J126" t="str">
        <v>3.226</v>
      </c>
      <c r="K126" t="str">
        <v>0</v>
      </c>
    </row>
    <row r="127" spans="7:11" x14ac:dyDescent="0.45">
      <c r="G127" s="8" t="s">
        <v>283</v>
      </c>
      <c r="H127" t="str" cm="1">
        <f t="array" ref="H127:K127">_xlfn.TEXTSPLIT(G127, " ")</f>
        <v>16</v>
      </c>
      <c r="I127" t="str">
        <v>Mild_Balanced</v>
      </c>
      <c r="J127" t="str">
        <v>0</v>
      </c>
      <c r="K127" t="str">
        <v>2.408</v>
      </c>
    </row>
    <row r="128" spans="7:11" x14ac:dyDescent="0.45">
      <c r="G128" s="8" t="s">
        <v>285</v>
      </c>
      <c r="H128" t="str" cm="1">
        <f t="array" ref="H128:K128">_xlfn.TEXTSPLIT(G128, " ")</f>
        <v>16</v>
      </c>
      <c r="I128" t="str">
        <v>Overcast_Windy</v>
      </c>
      <c r="J128" t="str">
        <v>4.562</v>
      </c>
      <c r="K128" t="str">
        <v>0</v>
      </c>
    </row>
    <row r="129" spans="7:11" x14ac:dyDescent="0.45">
      <c r="G129" s="8" t="s">
        <v>288</v>
      </c>
      <c r="H129" t="str" cm="1">
        <f t="array" ref="H129:K129">_xlfn.TEXTSPLIT(G129, " ")</f>
        <v>16</v>
      </c>
      <c r="I129" t="str">
        <v>Storm_PM</v>
      </c>
      <c r="J129" t="str">
        <v>7.374</v>
      </c>
      <c r="K129" t="str">
        <v>0</v>
      </c>
    </row>
    <row r="130" spans="7:11" x14ac:dyDescent="0.45">
      <c r="G130" s="8" t="s">
        <v>290</v>
      </c>
      <c r="H130" t="str" cm="1">
        <f t="array" ref="H130:K130">_xlfn.TEXTSPLIT(G130, " ")</f>
        <v>17</v>
      </c>
      <c r="I130" t="str">
        <v>Clear_Breezy</v>
      </c>
      <c r="J130" t="str">
        <v>0.688</v>
      </c>
      <c r="K130" t="str">
        <v>0</v>
      </c>
    </row>
    <row r="131" spans="7:11" x14ac:dyDescent="0.45">
      <c r="G131" s="8" t="s">
        <v>292</v>
      </c>
      <c r="H131" t="str" cm="1">
        <f t="array" ref="H131:K131">_xlfn.TEXTSPLIT(G131, " ")</f>
        <v>17</v>
      </c>
      <c r="I131" t="str">
        <v>Cloudy_Calm</v>
      </c>
      <c r="J131" t="str">
        <v>8.26</v>
      </c>
      <c r="K131" t="str">
        <v>0</v>
      </c>
    </row>
    <row r="132" spans="7:11" x14ac:dyDescent="0.45">
      <c r="G132" s="8" t="s">
        <v>294</v>
      </c>
      <c r="H132" t="str" cm="1">
        <f t="array" ref="H132:K132">_xlfn.TEXTSPLIT(G132, " ")</f>
        <v>17</v>
      </c>
      <c r="I132" t="str">
        <v>Hot_Clear</v>
      </c>
      <c r="J132" t="str">
        <v>4.25</v>
      </c>
      <c r="K132" t="str">
        <v>0</v>
      </c>
    </row>
    <row r="133" spans="7:11" x14ac:dyDescent="0.45">
      <c r="G133" s="8" t="s">
        <v>295</v>
      </c>
      <c r="H133" t="str" cm="1">
        <f t="array" ref="H133:K133">_xlfn.TEXTSPLIT(G133, " ")</f>
        <v>17</v>
      </c>
      <c r="I133" t="str">
        <v>Hot_Cloudy</v>
      </c>
      <c r="J133" t="str">
        <v>8.55</v>
      </c>
      <c r="K133" t="str">
        <v>0</v>
      </c>
    </row>
    <row r="134" spans="7:11" x14ac:dyDescent="0.45">
      <c r="G134" s="8" t="s">
        <v>297</v>
      </c>
      <c r="H134" t="str" cm="1">
        <f t="array" ref="H134:K134">_xlfn.TEXTSPLIT(G134, " ")</f>
        <v>17</v>
      </c>
      <c r="I134" t="str">
        <v>Hot_Hazy</v>
      </c>
      <c r="J134" t="str">
        <v>7</v>
      </c>
      <c r="K134" t="str">
        <v>0</v>
      </c>
    </row>
    <row r="135" spans="7:11" x14ac:dyDescent="0.45">
      <c r="G135" s="8" t="s">
        <v>299</v>
      </c>
      <c r="H135" t="str" cm="1">
        <f t="array" ref="H135:K135">_xlfn.TEXTSPLIT(G135, " ")</f>
        <v>17</v>
      </c>
      <c r="I135" t="str">
        <v>Mild_Balanced</v>
      </c>
      <c r="J135" t="str">
        <v>0.83</v>
      </c>
      <c r="K135" t="str">
        <v>0</v>
      </c>
    </row>
    <row r="136" spans="7:11" x14ac:dyDescent="0.45">
      <c r="G136" s="8" t="s">
        <v>301</v>
      </c>
      <c r="H136" t="str" cm="1">
        <f t="array" ref="H136:K136">_xlfn.TEXTSPLIT(G136, " ")</f>
        <v>17</v>
      </c>
      <c r="I136" t="str">
        <v>Overcast_Windy</v>
      </c>
      <c r="J136" t="str">
        <v>5.83</v>
      </c>
      <c r="K136" t="str">
        <v>0</v>
      </c>
    </row>
    <row r="137" spans="7:11" x14ac:dyDescent="0.45">
      <c r="G137" s="8" t="s">
        <v>304</v>
      </c>
      <c r="H137" t="str" cm="1">
        <f t="array" ref="H137:K137">_xlfn.TEXTSPLIT(G137, " ")</f>
        <v>17</v>
      </c>
      <c r="I137" t="str">
        <v>Storm_PM</v>
      </c>
      <c r="J137" t="str">
        <v>6.77</v>
      </c>
      <c r="K137" t="str">
        <v>0</v>
      </c>
    </row>
    <row r="138" spans="7:11" x14ac:dyDescent="0.45">
      <c r="G138" s="8" t="s">
        <v>306</v>
      </c>
      <c r="H138" t="str" cm="1">
        <f t="array" ref="H138:K138">_xlfn.TEXTSPLIT(G138, " ")</f>
        <v>18</v>
      </c>
      <c r="I138" t="str">
        <v>Clear_Breezy</v>
      </c>
      <c r="J138" t="str">
        <v>4.992</v>
      </c>
      <c r="K138" t="str">
        <v>0</v>
      </c>
    </row>
    <row r="139" spans="7:11" x14ac:dyDescent="0.45">
      <c r="G139" s="8" t="s">
        <v>308</v>
      </c>
      <c r="H139" t="str" cm="1">
        <f t="array" ref="H139:K139">_xlfn.TEXTSPLIT(G139, " ")</f>
        <v>18</v>
      </c>
      <c r="I139" t="str">
        <v>Cloudy_Calm</v>
      </c>
      <c r="J139" t="str">
        <v>10.886</v>
      </c>
      <c r="K139" t="str">
        <v>0</v>
      </c>
    </row>
    <row r="140" spans="7:11" x14ac:dyDescent="0.45">
      <c r="G140" s="8" t="s">
        <v>310</v>
      </c>
      <c r="H140" t="str" cm="1">
        <f t="array" ref="H140:K140">_xlfn.TEXTSPLIT(G140, " ")</f>
        <v>18</v>
      </c>
      <c r="I140" t="str">
        <v>Hot_Clear</v>
      </c>
      <c r="J140" t="str">
        <v>8.63</v>
      </c>
      <c r="K140" t="str">
        <v>0</v>
      </c>
    </row>
    <row r="141" spans="7:11" x14ac:dyDescent="0.45">
      <c r="G141" s="8" t="s">
        <v>312</v>
      </c>
      <c r="H141" t="str" cm="1">
        <f t="array" ref="H141:K141">_xlfn.TEXTSPLIT(G141, " ")</f>
        <v>18</v>
      </c>
      <c r="I141" t="str">
        <v>Hot_Cloudy</v>
      </c>
      <c r="J141" t="str">
        <v>11.214</v>
      </c>
      <c r="K141" t="str">
        <v>0</v>
      </c>
    </row>
    <row r="142" spans="7:11" x14ac:dyDescent="0.45">
      <c r="G142" s="8" t="s">
        <v>314</v>
      </c>
      <c r="H142" t="str" cm="1">
        <f t="array" ref="H142:K142">_xlfn.TEXTSPLIT(G142, " ")</f>
        <v>18</v>
      </c>
      <c r="I142" t="str">
        <v>Hot_Hazy</v>
      </c>
      <c r="J142" t="str">
        <v>11.1</v>
      </c>
      <c r="K142" t="str">
        <v>0</v>
      </c>
    </row>
    <row r="143" spans="7:11" x14ac:dyDescent="0.45">
      <c r="G143" s="8" t="s">
        <v>316</v>
      </c>
      <c r="H143" t="str" cm="1">
        <f t="array" ref="H143:K143">_xlfn.TEXTSPLIT(G143, " ")</f>
        <v>18</v>
      </c>
      <c r="I143" t="str">
        <v>Mild_Balanced</v>
      </c>
      <c r="J143" t="str">
        <v>4.852</v>
      </c>
      <c r="K143" t="str">
        <v>0</v>
      </c>
    </row>
    <row r="144" spans="7:11" x14ac:dyDescent="0.45">
      <c r="G144" s="8" t="s">
        <v>318</v>
      </c>
      <c r="H144" t="str" cm="1">
        <f t="array" ref="H144:K144">_xlfn.TEXTSPLIT(G144, " ")</f>
        <v>18</v>
      </c>
      <c r="I144" t="str">
        <v>Overcast_Windy</v>
      </c>
      <c r="J144" t="str">
        <v>7.184</v>
      </c>
      <c r="K144" t="str">
        <v>0</v>
      </c>
    </row>
    <row r="145" spans="7:11" x14ac:dyDescent="0.45">
      <c r="G145" s="8" t="s">
        <v>321</v>
      </c>
      <c r="H145" t="str" cm="1">
        <f t="array" ref="H145:K145">_xlfn.TEXTSPLIT(G145, " ")</f>
        <v>18</v>
      </c>
      <c r="I145" t="str">
        <v>Storm_PM</v>
      </c>
      <c r="J145" t="str">
        <v>6.89</v>
      </c>
      <c r="K145" t="str">
        <v>0</v>
      </c>
    </row>
    <row r="146" spans="7:11" x14ac:dyDescent="0.45">
      <c r="G146" s="8" t="s">
        <v>323</v>
      </c>
      <c r="H146" t="str" cm="1">
        <f t="array" ref="H146:K146">_xlfn.TEXTSPLIT(G146, " ")</f>
        <v>19</v>
      </c>
      <c r="I146" t="str">
        <v>Clear_Breezy</v>
      </c>
      <c r="J146" t="str">
        <v>7.948</v>
      </c>
      <c r="K146" t="str">
        <v>0</v>
      </c>
    </row>
    <row r="147" spans="7:11" x14ac:dyDescent="0.45">
      <c r="G147" s="8" t="s">
        <v>325</v>
      </c>
      <c r="H147" t="str" cm="1">
        <f t="array" ref="H147:K147">_xlfn.TEXTSPLIT(G147, " ")</f>
        <v>19</v>
      </c>
      <c r="I147" t="str">
        <v>Cloudy_Calm</v>
      </c>
      <c r="J147" t="str">
        <v>12.348</v>
      </c>
      <c r="K147" t="str">
        <v>0</v>
      </c>
    </row>
    <row r="148" spans="7:11" x14ac:dyDescent="0.45">
      <c r="G148" s="8" t="s">
        <v>327</v>
      </c>
      <c r="H148" t="str" cm="1">
        <f t="array" ref="H148:K148">_xlfn.TEXTSPLIT(G148, " ")</f>
        <v>19</v>
      </c>
      <c r="I148" t="str">
        <v>Hot_Clear</v>
      </c>
      <c r="J148" t="str">
        <v>11.49</v>
      </c>
      <c r="K148" t="str">
        <v>0</v>
      </c>
    </row>
    <row r="149" spans="7:11" x14ac:dyDescent="0.45">
      <c r="G149" s="8" t="s">
        <v>329</v>
      </c>
      <c r="H149" t="str" cm="1">
        <f t="array" ref="H149:K149">_xlfn.TEXTSPLIT(G149, " ")</f>
        <v>19</v>
      </c>
      <c r="I149" t="str">
        <v>Hot_Cloudy</v>
      </c>
      <c r="J149" t="str">
        <v>12.374</v>
      </c>
      <c r="K149" t="str">
        <v>0</v>
      </c>
    </row>
    <row r="150" spans="7:11" x14ac:dyDescent="0.45">
      <c r="G150" s="8" t="s">
        <v>331</v>
      </c>
      <c r="H150" t="str" cm="1">
        <f t="array" ref="H150:K150">_xlfn.TEXTSPLIT(G150, " ")</f>
        <v>19</v>
      </c>
      <c r="I150" t="str">
        <v>Hot_Hazy</v>
      </c>
      <c r="J150" t="str">
        <v>13.582</v>
      </c>
      <c r="K150" t="str">
        <v>0</v>
      </c>
    </row>
    <row r="151" spans="7:11" x14ac:dyDescent="0.45">
      <c r="G151" s="8" t="s">
        <v>333</v>
      </c>
      <c r="H151" t="str" cm="1">
        <f t="array" ref="H151:K151">_xlfn.TEXTSPLIT(G151, " ")</f>
        <v>19</v>
      </c>
      <c r="I151" t="str">
        <v>Mild_Balanced</v>
      </c>
      <c r="J151" t="str">
        <v>7.844</v>
      </c>
      <c r="K151" t="str">
        <v>0</v>
      </c>
    </row>
    <row r="152" spans="7:11" x14ac:dyDescent="0.45">
      <c r="G152" s="8" t="s">
        <v>335</v>
      </c>
      <c r="H152" t="str" cm="1">
        <f t="array" ref="H152:K152">_xlfn.TEXTSPLIT(G152, " ")</f>
        <v>19</v>
      </c>
      <c r="I152" t="str">
        <v>Overcast_Windy</v>
      </c>
      <c r="J152" t="str">
        <v>7.496</v>
      </c>
      <c r="K152" t="str">
        <v>0</v>
      </c>
    </row>
    <row r="153" spans="7:11" x14ac:dyDescent="0.45">
      <c r="G153" s="8" t="s">
        <v>338</v>
      </c>
      <c r="H153" t="str" cm="1">
        <f t="array" ref="H153:K153">_xlfn.TEXTSPLIT(G153, " ")</f>
        <v>19</v>
      </c>
      <c r="I153" t="str">
        <v>Storm_PM</v>
      </c>
      <c r="J153" t="str">
        <v>7.718</v>
      </c>
      <c r="K153" t="str">
        <v>0</v>
      </c>
    </row>
    <row r="154" spans="7:11" x14ac:dyDescent="0.45">
      <c r="G154" s="8" t="s">
        <v>340</v>
      </c>
      <c r="H154" t="str" cm="1">
        <f t="array" ref="H154:K154">_xlfn.TEXTSPLIT(G154, " ")</f>
        <v>20</v>
      </c>
      <c r="I154" t="str">
        <v>Clear_Breezy</v>
      </c>
      <c r="J154" t="str">
        <v>9.084</v>
      </c>
      <c r="K154" t="str">
        <v>0</v>
      </c>
    </row>
    <row r="155" spans="7:11" x14ac:dyDescent="0.45">
      <c r="G155" s="8" t="s">
        <v>342</v>
      </c>
      <c r="H155" t="str" cm="1">
        <f t="array" ref="H155:K155">_xlfn.TEXTSPLIT(G155, " ")</f>
        <v>20</v>
      </c>
      <c r="I155" t="str">
        <v>Cloudy_Calm</v>
      </c>
      <c r="J155" t="str">
        <v>12.596</v>
      </c>
      <c r="K155" t="str">
        <v>0</v>
      </c>
    </row>
    <row r="156" spans="7:11" x14ac:dyDescent="0.45">
      <c r="G156" s="8" t="s">
        <v>344</v>
      </c>
      <c r="H156" t="str" cm="1">
        <f t="array" ref="H156:K156">_xlfn.TEXTSPLIT(G156, " ")</f>
        <v>20</v>
      </c>
      <c r="I156" t="str">
        <v>Hot_Clear</v>
      </c>
      <c r="J156" t="str">
        <v>12.38</v>
      </c>
      <c r="K156" t="str">
        <v>0</v>
      </c>
    </row>
    <row r="157" spans="7:11" x14ac:dyDescent="0.45">
      <c r="G157" s="8" t="s">
        <v>346</v>
      </c>
      <c r="H157" t="str" cm="1">
        <f t="array" ref="H157:K157">_xlfn.TEXTSPLIT(G157, " ")</f>
        <v>20</v>
      </c>
      <c r="I157" t="str">
        <v>Hot_Cloudy</v>
      </c>
      <c r="J157" t="str">
        <v>12.008</v>
      </c>
      <c r="K157" t="str">
        <v>0</v>
      </c>
    </row>
    <row r="158" spans="7:11" x14ac:dyDescent="0.45">
      <c r="G158" s="8" t="s">
        <v>348</v>
      </c>
      <c r="H158" t="str" cm="1">
        <f t="array" ref="H158:K158">_xlfn.TEXTSPLIT(G158, " ")</f>
        <v>20</v>
      </c>
      <c r="I158" t="str">
        <v>Hot_Hazy</v>
      </c>
      <c r="J158" t="str">
        <v>14.096</v>
      </c>
      <c r="K158" t="str">
        <v>0</v>
      </c>
    </row>
    <row r="159" spans="7:11" x14ac:dyDescent="0.45">
      <c r="G159" s="8" t="s">
        <v>350</v>
      </c>
      <c r="H159" t="str" cm="1">
        <f t="array" ref="H159:K159">_xlfn.TEXTSPLIT(G159, " ")</f>
        <v>20</v>
      </c>
      <c r="I159" t="str">
        <v>Mild_Balanced</v>
      </c>
      <c r="J159" t="str">
        <v>9.176</v>
      </c>
      <c r="K159" t="str">
        <v>0</v>
      </c>
    </row>
    <row r="160" spans="7:11" x14ac:dyDescent="0.45">
      <c r="G160" s="8" t="s">
        <v>352</v>
      </c>
      <c r="H160" t="str" cm="1">
        <f t="array" ref="H160:K160">_xlfn.TEXTSPLIT(G160, " ")</f>
        <v>20</v>
      </c>
      <c r="I160" t="str">
        <v>Overcast_Windy</v>
      </c>
      <c r="J160" t="str">
        <v>6.94</v>
      </c>
      <c r="K160" t="str">
        <v>0</v>
      </c>
    </row>
    <row r="161" spans="7:11" x14ac:dyDescent="0.45">
      <c r="G161" s="8" t="s">
        <v>355</v>
      </c>
      <c r="H161" t="str" cm="1">
        <f t="array" ref="H161:K161">_xlfn.TEXTSPLIT(G161, " ")</f>
        <v>20</v>
      </c>
      <c r="I161" t="str">
        <v>Storm_PM</v>
      </c>
      <c r="J161" t="str">
        <v>8.974</v>
      </c>
      <c r="K161" t="str">
        <v>0</v>
      </c>
    </row>
    <row r="162" spans="7:11" x14ac:dyDescent="0.45">
      <c r="G162" s="8" t="s">
        <v>357</v>
      </c>
      <c r="H162" t="str" cm="1">
        <f t="array" ref="H162:K162">_xlfn.TEXTSPLIT(G162, " ")</f>
        <v>21</v>
      </c>
      <c r="I162" t="str">
        <v>Clear_Breezy</v>
      </c>
      <c r="J162" t="str">
        <v>7.298</v>
      </c>
      <c r="K162" t="str">
        <v>0</v>
      </c>
    </row>
    <row r="163" spans="7:11" x14ac:dyDescent="0.45">
      <c r="G163" s="8" t="s">
        <v>359</v>
      </c>
      <c r="H163" t="str" cm="1">
        <f t="array" ref="H163:K163">_xlfn.TEXTSPLIT(G163, " ")</f>
        <v>21</v>
      </c>
      <c r="I163" t="str">
        <v>Cloudy_Calm</v>
      </c>
      <c r="J163" t="str">
        <v>11.256</v>
      </c>
      <c r="K163" t="str">
        <v>0</v>
      </c>
    </row>
    <row r="164" spans="7:11" x14ac:dyDescent="0.45">
      <c r="G164" s="8" t="s">
        <v>361</v>
      </c>
      <c r="H164" t="str" cm="1">
        <f t="array" ref="H164:K164">_xlfn.TEXTSPLIT(G164, " ")</f>
        <v>21</v>
      </c>
      <c r="I164" t="str">
        <v>Hot_Clear</v>
      </c>
      <c r="J164" t="str">
        <v>10.31</v>
      </c>
      <c r="K164" t="str">
        <v>0</v>
      </c>
    </row>
    <row r="165" spans="7:11" x14ac:dyDescent="0.45">
      <c r="G165" s="8" t="s">
        <v>363</v>
      </c>
      <c r="H165" t="str" cm="1">
        <f t="array" ref="H165:K165">_xlfn.TEXTSPLIT(G165, " ")</f>
        <v>21</v>
      </c>
      <c r="I165" t="str">
        <v>Hot_Cloudy</v>
      </c>
      <c r="J165" t="str">
        <v>9.998</v>
      </c>
      <c r="K165" t="str">
        <v>0</v>
      </c>
    </row>
    <row r="166" spans="7:11" x14ac:dyDescent="0.45">
      <c r="G166" s="8" t="s">
        <v>365</v>
      </c>
      <c r="H166" t="str" cm="1">
        <f t="array" ref="H166:K166">_xlfn.TEXTSPLIT(G166, " ")</f>
        <v>21</v>
      </c>
      <c r="I166" t="str">
        <v>Hot_Hazy</v>
      </c>
      <c r="J166" t="str">
        <v>12.108</v>
      </c>
      <c r="K166" t="str">
        <v>0</v>
      </c>
    </row>
    <row r="167" spans="7:11" x14ac:dyDescent="0.45">
      <c r="G167" s="8" t="s">
        <v>367</v>
      </c>
      <c r="H167" t="str" cm="1">
        <f t="array" ref="H167:K167">_xlfn.TEXTSPLIT(G167, " ")</f>
        <v>21</v>
      </c>
      <c r="I167" t="str">
        <v>Mild_Balanced</v>
      </c>
      <c r="J167" t="str">
        <v>7.838</v>
      </c>
      <c r="K167" t="str">
        <v>0</v>
      </c>
    </row>
    <row r="168" spans="7:11" x14ac:dyDescent="0.45">
      <c r="G168" s="8" t="s">
        <v>369</v>
      </c>
      <c r="H168" t="str" cm="1">
        <f t="array" ref="H168:K168">_xlfn.TEXTSPLIT(G168, " ")</f>
        <v>21</v>
      </c>
      <c r="I168" t="str">
        <v>Overcast_Windy</v>
      </c>
      <c r="J168" t="str">
        <v>5.28</v>
      </c>
      <c r="K168" t="str">
        <v>0</v>
      </c>
    </row>
    <row r="169" spans="7:11" x14ac:dyDescent="0.45">
      <c r="G169" s="8" t="s">
        <v>372</v>
      </c>
      <c r="H169" t="str" cm="1">
        <f t="array" ref="H169:K169">_xlfn.TEXTSPLIT(G169, " ")</f>
        <v>21</v>
      </c>
      <c r="I169" t="str">
        <v>Storm_PM</v>
      </c>
      <c r="J169" t="str">
        <v>8.064</v>
      </c>
      <c r="K169" t="str">
        <v>0</v>
      </c>
    </row>
    <row r="170" spans="7:11" x14ac:dyDescent="0.45">
      <c r="G170" s="8" t="s">
        <v>374</v>
      </c>
      <c r="H170" t="str" cm="1">
        <f t="array" ref="H170:K170">_xlfn.TEXTSPLIT(G170, " ")</f>
        <v>22</v>
      </c>
      <c r="I170" t="str">
        <v>Clear_Breezy</v>
      </c>
      <c r="J170" t="str">
        <v>5.296</v>
      </c>
      <c r="K170" t="str">
        <v>0</v>
      </c>
    </row>
    <row r="171" spans="7:11" x14ac:dyDescent="0.45">
      <c r="G171" s="8" t="s">
        <v>376</v>
      </c>
      <c r="H171" t="str" cm="1">
        <f t="array" ref="H171:K171">_xlfn.TEXTSPLIT(G171, " ")</f>
        <v>22</v>
      </c>
      <c r="I171" t="str">
        <v>Cloudy_Calm</v>
      </c>
      <c r="J171" t="str">
        <v>9.504</v>
      </c>
      <c r="K171" t="str">
        <v>0</v>
      </c>
    </row>
    <row r="172" spans="7:11" x14ac:dyDescent="0.45">
      <c r="G172" s="8" t="s">
        <v>378</v>
      </c>
      <c r="H172" t="str" cm="1">
        <f t="array" ref="H172:K172">_xlfn.TEXTSPLIT(G172, " ")</f>
        <v>22</v>
      </c>
      <c r="I172" t="str">
        <v>Hot_Clear</v>
      </c>
      <c r="J172" t="str">
        <v>8.11</v>
      </c>
      <c r="K172" t="str">
        <v>0</v>
      </c>
    </row>
    <row r="173" spans="7:11" x14ac:dyDescent="0.45">
      <c r="G173" s="8" t="s">
        <v>380</v>
      </c>
      <c r="H173" t="str" cm="1">
        <f t="array" ref="H173:K173">_xlfn.TEXTSPLIT(G173, " ")</f>
        <v>22</v>
      </c>
      <c r="I173" t="str">
        <v>Hot_Cloudy</v>
      </c>
      <c r="J173" t="str">
        <v>7.886</v>
      </c>
      <c r="K173" t="str">
        <v>0</v>
      </c>
    </row>
    <row r="174" spans="7:11" x14ac:dyDescent="0.45">
      <c r="G174" s="8" t="s">
        <v>382</v>
      </c>
      <c r="H174" t="str" cm="1">
        <f t="array" ref="H174:K174">_xlfn.TEXTSPLIT(G174, " ")</f>
        <v>22</v>
      </c>
      <c r="I174" t="str">
        <v>Hot_Hazy</v>
      </c>
      <c r="J174" t="str">
        <v>10.102</v>
      </c>
      <c r="K174" t="str">
        <v>0</v>
      </c>
    </row>
    <row r="175" spans="7:11" x14ac:dyDescent="0.45">
      <c r="G175" s="8" t="s">
        <v>384</v>
      </c>
      <c r="H175" t="str" cm="1">
        <f t="array" ref="H175:K175">_xlfn.TEXTSPLIT(G175, " ")</f>
        <v>22</v>
      </c>
      <c r="I175" t="str">
        <v>Mild_Balanced</v>
      </c>
      <c r="J175" t="str">
        <v>6.194</v>
      </c>
      <c r="K175" t="str">
        <v>0</v>
      </c>
    </row>
    <row r="176" spans="7:11" x14ac:dyDescent="0.45">
      <c r="G176" s="8" t="s">
        <v>386</v>
      </c>
      <c r="H176" t="str" cm="1">
        <f t="array" ref="H176:K176">_xlfn.TEXTSPLIT(G176, " ")</f>
        <v>22</v>
      </c>
      <c r="I176" t="str">
        <v>Overcast_Windy</v>
      </c>
      <c r="J176" t="str">
        <v>3.348</v>
      </c>
      <c r="K176" t="str">
        <v>0</v>
      </c>
    </row>
    <row r="177" spans="7:11" x14ac:dyDescent="0.45">
      <c r="G177" s="8" t="s">
        <v>389</v>
      </c>
      <c r="H177" t="str" cm="1">
        <f t="array" ref="H177:K177">_xlfn.TEXTSPLIT(G177, " ")</f>
        <v>22</v>
      </c>
      <c r="I177" t="str">
        <v>Storm_PM</v>
      </c>
      <c r="J177" t="str">
        <v>6.81</v>
      </c>
      <c r="K177" t="str">
        <v>0</v>
      </c>
    </row>
    <row r="178" spans="7:11" x14ac:dyDescent="0.45">
      <c r="G178" s="8" t="s">
        <v>391</v>
      </c>
      <c r="H178" t="str" cm="1">
        <f t="array" ref="H178:K178">_xlfn.TEXTSPLIT(G178, " ")</f>
        <v>23</v>
      </c>
      <c r="I178" t="str">
        <v>Clear_Breezy</v>
      </c>
      <c r="J178" t="str">
        <v>3.514</v>
      </c>
      <c r="K178" t="str">
        <v>0</v>
      </c>
    </row>
    <row r="179" spans="7:11" x14ac:dyDescent="0.45">
      <c r="G179" s="8" t="s">
        <v>393</v>
      </c>
      <c r="H179" t="str" cm="1">
        <f t="array" ref="H179:K179">_xlfn.TEXTSPLIT(G179, " ")</f>
        <v>23</v>
      </c>
      <c r="I179" t="str">
        <v>Cloudy_Calm</v>
      </c>
      <c r="J179" t="str">
        <v>7.72</v>
      </c>
      <c r="K179" t="str">
        <v>0</v>
      </c>
    </row>
    <row r="180" spans="7:11" x14ac:dyDescent="0.45">
      <c r="G180" s="8" t="s">
        <v>395</v>
      </c>
      <c r="H180" t="str" cm="1">
        <f t="array" ref="H180:K180">_xlfn.TEXTSPLIT(G180, " ")</f>
        <v>23</v>
      </c>
      <c r="I180" t="str">
        <v>Hot_Clear</v>
      </c>
      <c r="J180" t="str">
        <v>6.01</v>
      </c>
      <c r="K180" t="str">
        <v>0</v>
      </c>
    </row>
    <row r="181" spans="7:11" x14ac:dyDescent="0.45">
      <c r="G181" s="8" t="s">
        <v>397</v>
      </c>
      <c r="H181" t="str" cm="1">
        <f t="array" ref="H181:K181">_xlfn.TEXTSPLIT(G181, " ")</f>
        <v>23</v>
      </c>
      <c r="I181" t="str">
        <v>Hot_Cloudy</v>
      </c>
      <c r="J181" t="str">
        <v>5.808</v>
      </c>
      <c r="K181" t="str">
        <v>0</v>
      </c>
    </row>
    <row r="182" spans="7:11" x14ac:dyDescent="0.45">
      <c r="G182" s="8" t="s">
        <v>399</v>
      </c>
      <c r="H182" t="str" cm="1">
        <f t="array" ref="H182:K182">_xlfn.TEXTSPLIT(G182, " ")</f>
        <v>23</v>
      </c>
      <c r="I182" t="str">
        <v>Hot_Hazy</v>
      </c>
      <c r="J182" t="str">
        <v>8.004</v>
      </c>
      <c r="K182" t="str">
        <v>0</v>
      </c>
    </row>
    <row r="183" spans="7:11" x14ac:dyDescent="0.45">
      <c r="G183" s="8" t="s">
        <v>401</v>
      </c>
      <c r="H183" t="str" cm="1">
        <f t="array" ref="H183:K183">_xlfn.TEXTSPLIT(G183, " ")</f>
        <v>23</v>
      </c>
      <c r="I183" t="str">
        <v>Mild_Balanced</v>
      </c>
      <c r="J183" t="str">
        <v>4.52</v>
      </c>
      <c r="K183" t="str">
        <v>0</v>
      </c>
    </row>
    <row r="184" spans="7:11" x14ac:dyDescent="0.45">
      <c r="G184" s="8" t="s">
        <v>403</v>
      </c>
      <c r="H184" t="str" cm="1">
        <f t="array" ref="H184:K184">_xlfn.TEXTSPLIT(G184, " ")</f>
        <v>23</v>
      </c>
      <c r="I184" t="str">
        <v>Overcast_Windy</v>
      </c>
      <c r="J184" t="str">
        <v>1.572</v>
      </c>
      <c r="K184" t="str">
        <v>0</v>
      </c>
    </row>
    <row r="185" spans="7:11" x14ac:dyDescent="0.45">
      <c r="G185" s="8" t="s">
        <v>406</v>
      </c>
      <c r="H185" t="str" cm="1">
        <f t="array" ref="H185:K185">_xlfn.TEXTSPLIT(G185, " ")</f>
        <v>23</v>
      </c>
      <c r="I185" t="str">
        <v>Storm_PM</v>
      </c>
      <c r="J185" t="str">
        <v>5.54</v>
      </c>
      <c r="K185" t="str">
        <v>0</v>
      </c>
    </row>
    <row r="186" spans="7:11" x14ac:dyDescent="0.45">
      <c r="G186" s="8" t="s">
        <v>408</v>
      </c>
      <c r="H186" t="str" cm="1">
        <f t="array" ref="H186:K186">_xlfn.TEXTSPLIT(G186, " ")</f>
        <v>24</v>
      </c>
      <c r="I186" t="str">
        <v>Clear_Breezy</v>
      </c>
      <c r="J186" t="str">
        <v>1.914</v>
      </c>
      <c r="K186" t="str">
        <v>0</v>
      </c>
    </row>
    <row r="187" spans="7:11" x14ac:dyDescent="0.45">
      <c r="G187" s="8" t="s">
        <v>410</v>
      </c>
      <c r="H187" t="str" cm="1">
        <f t="array" ref="H187:K187">_xlfn.TEXTSPLIT(G187, " ")</f>
        <v>24</v>
      </c>
      <c r="I187" t="str">
        <v>Cloudy_Calm</v>
      </c>
      <c r="J187" t="str">
        <v>6.02</v>
      </c>
      <c r="K187" t="str">
        <v>0</v>
      </c>
    </row>
    <row r="188" spans="7:11" x14ac:dyDescent="0.45">
      <c r="G188" s="8" t="s">
        <v>412</v>
      </c>
      <c r="H188" t="str" cm="1">
        <f t="array" ref="H188:K188">_xlfn.TEXTSPLIT(G188, " ")</f>
        <v>24</v>
      </c>
      <c r="I188" t="str">
        <v>Hot_Clear</v>
      </c>
      <c r="J188" t="str">
        <v>4.09</v>
      </c>
      <c r="K188" t="str">
        <v>0</v>
      </c>
    </row>
    <row r="189" spans="7:11" x14ac:dyDescent="0.45">
      <c r="G189" s="8" t="s">
        <v>414</v>
      </c>
      <c r="H189" t="str" cm="1">
        <f t="array" ref="H189:K189">_xlfn.TEXTSPLIT(G189, " ")</f>
        <v>24</v>
      </c>
      <c r="I189" t="str">
        <v>Hot_Cloudy</v>
      </c>
      <c r="J189" t="str">
        <v>3.868</v>
      </c>
      <c r="K189" t="str">
        <v>0</v>
      </c>
    </row>
    <row r="190" spans="7:11" x14ac:dyDescent="0.45">
      <c r="G190" s="8" t="s">
        <v>416</v>
      </c>
      <c r="H190" t="str" cm="1">
        <f t="array" ref="H190:K190">_xlfn.TEXTSPLIT(G190, " ")</f>
        <v>24</v>
      </c>
      <c r="I190" t="str">
        <v>Hot_Hazy</v>
      </c>
      <c r="J190" t="str">
        <v>6.044</v>
      </c>
      <c r="K190" t="str">
        <v>0</v>
      </c>
    </row>
    <row r="191" spans="7:11" x14ac:dyDescent="0.45">
      <c r="G191" s="8" t="s">
        <v>418</v>
      </c>
      <c r="H191" t="str" cm="1">
        <f t="array" ref="H191:K191">_xlfn.TEXTSPLIT(G191, " ")</f>
        <v>24</v>
      </c>
      <c r="I191" t="str">
        <v>Mild_Balanced</v>
      </c>
      <c r="J191" t="str">
        <v>2.92</v>
      </c>
      <c r="K191" t="str">
        <v>0</v>
      </c>
    </row>
    <row r="192" spans="7:11" x14ac:dyDescent="0.45">
      <c r="G192" s="8" t="s">
        <v>420</v>
      </c>
      <c r="H192" t="str" cm="1">
        <f t="array" ref="H192:K192">_xlfn.TEXTSPLIT(G192, " ")</f>
        <v>24</v>
      </c>
      <c r="I192" t="str">
        <v>Overcast_Windy</v>
      </c>
      <c r="J192" t="str">
        <v>0</v>
      </c>
      <c r="K192" t="str">
        <v>0.008</v>
      </c>
    </row>
    <row r="193" spans="7:11" x14ac:dyDescent="0.45">
      <c r="G193" s="8" t="s">
        <v>421</v>
      </c>
      <c r="H193" t="str" cm="1">
        <f t="array" ref="H193:K193">_xlfn.TEXTSPLIT(G193, " ")</f>
        <v>24</v>
      </c>
      <c r="I193" t="str">
        <v>Storm_PM</v>
      </c>
      <c r="J193" t="str">
        <v>3.916</v>
      </c>
      <c r="K193" t="str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284C-14EC-41AB-8F18-051597FB0542}">
  <dimension ref="A1:D193"/>
  <sheetViews>
    <sheetView workbookViewId="0">
      <selection sqref="A1:D1"/>
    </sheetView>
  </sheetViews>
  <sheetFormatPr defaultRowHeight="14.25" x14ac:dyDescent="0.45"/>
  <cols>
    <col min="1" max="1" width="13.3984375" bestFit="1" customWidth="1"/>
    <col min="2" max="2" width="15.265625" bestFit="1" customWidth="1"/>
    <col min="3" max="3" width="7.1328125" customWidth="1"/>
    <col min="4" max="4" width="5.73046875" customWidth="1"/>
  </cols>
  <sheetData>
    <row r="1" spans="1:4" x14ac:dyDescent="0.45">
      <c r="A1" t="s">
        <v>2</v>
      </c>
      <c r="B1" t="s">
        <v>3</v>
      </c>
      <c r="C1" t="s">
        <v>4</v>
      </c>
      <c r="D1" t="s">
        <v>5</v>
      </c>
    </row>
    <row r="2" spans="1:4" x14ac:dyDescent="0.45">
      <c r="A2" t="s">
        <v>9</v>
      </c>
      <c r="B2" t="s">
        <v>10</v>
      </c>
      <c r="C2">
        <v>0.71199999999999997</v>
      </c>
      <c r="D2">
        <v>0</v>
      </c>
    </row>
    <row r="3" spans="1:4" x14ac:dyDescent="0.45">
      <c r="A3" t="s">
        <v>9</v>
      </c>
      <c r="B3" t="s">
        <v>15</v>
      </c>
      <c r="C3">
        <v>4.7039999999999997</v>
      </c>
      <c r="D3">
        <v>0</v>
      </c>
    </row>
    <row r="4" spans="1:4" x14ac:dyDescent="0.45">
      <c r="A4" t="s">
        <v>9</v>
      </c>
      <c r="B4" t="s">
        <v>20</v>
      </c>
      <c r="C4">
        <v>2.74</v>
      </c>
      <c r="D4">
        <v>0</v>
      </c>
    </row>
    <row r="5" spans="1:4" x14ac:dyDescent="0.45">
      <c r="A5" t="s">
        <v>9</v>
      </c>
      <c r="B5" t="s">
        <v>23</v>
      </c>
      <c r="C5">
        <v>2.5219999999999998</v>
      </c>
      <c r="D5">
        <v>0</v>
      </c>
    </row>
    <row r="6" spans="1:4" x14ac:dyDescent="0.45">
      <c r="A6" t="s">
        <v>9</v>
      </c>
      <c r="B6" t="s">
        <v>26</v>
      </c>
      <c r="C6">
        <v>4.6319999999999997</v>
      </c>
      <c r="D6">
        <v>0</v>
      </c>
    </row>
    <row r="7" spans="1:4" x14ac:dyDescent="0.45">
      <c r="A7" t="s">
        <v>9</v>
      </c>
      <c r="B7" t="s">
        <v>29</v>
      </c>
      <c r="C7">
        <v>1.74</v>
      </c>
      <c r="D7">
        <v>0</v>
      </c>
    </row>
    <row r="8" spans="1:4" x14ac:dyDescent="0.45">
      <c r="A8" t="s">
        <v>9</v>
      </c>
      <c r="B8" t="s">
        <v>32</v>
      </c>
      <c r="C8">
        <v>0</v>
      </c>
      <c r="D8">
        <v>1.1120000000000001</v>
      </c>
    </row>
    <row r="9" spans="1:4" x14ac:dyDescent="0.45">
      <c r="A9" t="s">
        <v>9</v>
      </c>
      <c r="B9" t="s">
        <v>35</v>
      </c>
      <c r="C9">
        <v>2.798</v>
      </c>
      <c r="D9">
        <v>0</v>
      </c>
    </row>
    <row r="10" spans="1:4" x14ac:dyDescent="0.45">
      <c r="A10" t="s">
        <v>38</v>
      </c>
      <c r="B10" t="s">
        <v>10</v>
      </c>
      <c r="C10">
        <v>8.5999999999999993E-2</v>
      </c>
      <c r="D10">
        <v>0</v>
      </c>
    </row>
    <row r="11" spans="1:4" x14ac:dyDescent="0.45">
      <c r="A11" t="s">
        <v>38</v>
      </c>
      <c r="B11" t="s">
        <v>15</v>
      </c>
      <c r="C11">
        <v>4.2359999999999998</v>
      </c>
      <c r="D11">
        <v>0</v>
      </c>
    </row>
    <row r="12" spans="1:4" x14ac:dyDescent="0.45">
      <c r="A12" t="s">
        <v>38</v>
      </c>
      <c r="B12" t="s">
        <v>20</v>
      </c>
      <c r="C12">
        <v>2.15</v>
      </c>
      <c r="D12">
        <v>0</v>
      </c>
    </row>
    <row r="13" spans="1:4" x14ac:dyDescent="0.45">
      <c r="A13" t="s">
        <v>38</v>
      </c>
      <c r="B13" t="s">
        <v>23</v>
      </c>
      <c r="C13">
        <v>1.9079999999999999</v>
      </c>
      <c r="D13">
        <v>0</v>
      </c>
    </row>
    <row r="14" spans="1:4" x14ac:dyDescent="0.45">
      <c r="A14" t="s">
        <v>38</v>
      </c>
      <c r="B14" t="s">
        <v>26</v>
      </c>
      <c r="C14">
        <v>4.1159999999999997</v>
      </c>
      <c r="D14">
        <v>0</v>
      </c>
    </row>
    <row r="15" spans="1:4" x14ac:dyDescent="0.45">
      <c r="A15" t="s">
        <v>38</v>
      </c>
      <c r="B15" t="s">
        <v>29</v>
      </c>
      <c r="C15">
        <v>1.18</v>
      </c>
      <c r="D15">
        <v>0</v>
      </c>
    </row>
    <row r="16" spans="1:4" x14ac:dyDescent="0.45">
      <c r="A16" t="s">
        <v>38</v>
      </c>
      <c r="B16" t="s">
        <v>32</v>
      </c>
      <c r="C16">
        <v>0</v>
      </c>
      <c r="D16">
        <v>1.6020000000000001</v>
      </c>
    </row>
    <row r="17" spans="1:4" x14ac:dyDescent="0.45">
      <c r="A17" t="s">
        <v>38</v>
      </c>
      <c r="B17" t="s">
        <v>35</v>
      </c>
      <c r="C17">
        <v>2.222</v>
      </c>
      <c r="D17">
        <v>0</v>
      </c>
    </row>
    <row r="18" spans="1:4" x14ac:dyDescent="0.45">
      <c r="A18" t="s">
        <v>55</v>
      </c>
      <c r="B18" t="s">
        <v>10</v>
      </c>
      <c r="C18">
        <v>0</v>
      </c>
      <c r="D18">
        <v>0</v>
      </c>
    </row>
    <row r="19" spans="1:4" x14ac:dyDescent="0.45">
      <c r="A19" t="s">
        <v>55</v>
      </c>
      <c r="B19" t="s">
        <v>15</v>
      </c>
      <c r="C19">
        <v>4.03</v>
      </c>
      <c r="D19">
        <v>0</v>
      </c>
    </row>
    <row r="20" spans="1:4" x14ac:dyDescent="0.45">
      <c r="A20" t="s">
        <v>55</v>
      </c>
      <c r="B20" t="s">
        <v>20</v>
      </c>
      <c r="C20">
        <v>1.92</v>
      </c>
      <c r="D20">
        <v>0</v>
      </c>
    </row>
    <row r="21" spans="1:4" x14ac:dyDescent="0.45">
      <c r="A21" t="s">
        <v>55</v>
      </c>
      <c r="B21" t="s">
        <v>23</v>
      </c>
      <c r="C21">
        <v>1.6706399999999999</v>
      </c>
      <c r="D21">
        <v>0</v>
      </c>
    </row>
    <row r="22" spans="1:4" x14ac:dyDescent="0.45">
      <c r="A22" t="s">
        <v>55</v>
      </c>
      <c r="B22" t="s">
        <v>26</v>
      </c>
      <c r="C22">
        <v>3.82287</v>
      </c>
      <c r="D22">
        <v>0</v>
      </c>
    </row>
    <row r="23" spans="1:4" x14ac:dyDescent="0.45">
      <c r="A23" t="s">
        <v>55</v>
      </c>
      <c r="B23" t="s">
        <v>29</v>
      </c>
      <c r="C23">
        <v>0.98</v>
      </c>
      <c r="D23">
        <v>0</v>
      </c>
    </row>
    <row r="24" spans="1:4" x14ac:dyDescent="0.45">
      <c r="A24" t="s">
        <v>55</v>
      </c>
      <c r="B24" t="s">
        <v>32</v>
      </c>
      <c r="C24">
        <v>0</v>
      </c>
      <c r="D24">
        <v>1.68</v>
      </c>
    </row>
    <row r="25" spans="1:4" x14ac:dyDescent="0.45">
      <c r="A25" t="s">
        <v>55</v>
      </c>
      <c r="B25" t="s">
        <v>35</v>
      </c>
      <c r="C25">
        <v>2.0193599999999998</v>
      </c>
      <c r="D25">
        <v>0</v>
      </c>
    </row>
    <row r="26" spans="1:4" x14ac:dyDescent="0.45">
      <c r="A26" t="s">
        <v>71</v>
      </c>
      <c r="B26" t="s">
        <v>10</v>
      </c>
      <c r="C26">
        <v>0</v>
      </c>
      <c r="D26">
        <v>0</v>
      </c>
    </row>
    <row r="27" spans="1:4" x14ac:dyDescent="0.45">
      <c r="A27" t="s">
        <v>71</v>
      </c>
      <c r="B27" t="s">
        <v>15</v>
      </c>
      <c r="C27">
        <v>3.9125100000000002</v>
      </c>
      <c r="D27">
        <v>0</v>
      </c>
    </row>
    <row r="28" spans="1:4" x14ac:dyDescent="0.45">
      <c r="A28" t="s">
        <v>71</v>
      </c>
      <c r="B28" t="s">
        <v>20</v>
      </c>
      <c r="C28">
        <v>1.7908500000000001</v>
      </c>
      <c r="D28">
        <v>0</v>
      </c>
    </row>
    <row r="29" spans="1:4" x14ac:dyDescent="0.45">
      <c r="A29" t="s">
        <v>71</v>
      </c>
      <c r="B29" t="s">
        <v>23</v>
      </c>
      <c r="C29">
        <v>1.5468900000000001</v>
      </c>
      <c r="D29">
        <v>0</v>
      </c>
    </row>
    <row r="30" spans="1:4" x14ac:dyDescent="0.45">
      <c r="A30" t="s">
        <v>71</v>
      </c>
      <c r="B30" t="s">
        <v>26</v>
      </c>
      <c r="C30">
        <v>3.6281300000000001</v>
      </c>
      <c r="D30">
        <v>0</v>
      </c>
    </row>
    <row r="31" spans="1:4" x14ac:dyDescent="0.45">
      <c r="A31" t="s">
        <v>71</v>
      </c>
      <c r="B31" t="s">
        <v>29</v>
      </c>
      <c r="C31">
        <v>0.86084799999999995</v>
      </c>
      <c r="D31">
        <v>0</v>
      </c>
    </row>
    <row r="32" spans="1:4" x14ac:dyDescent="0.45">
      <c r="A32" t="s">
        <v>71</v>
      </c>
      <c r="B32" t="s">
        <v>32</v>
      </c>
      <c r="C32">
        <v>0</v>
      </c>
      <c r="D32">
        <v>1.6758299999999999</v>
      </c>
    </row>
    <row r="33" spans="1:4" x14ac:dyDescent="0.45">
      <c r="A33" t="s">
        <v>71</v>
      </c>
      <c r="B33" t="s">
        <v>35</v>
      </c>
      <c r="C33">
        <v>1.8748100000000001</v>
      </c>
      <c r="D33">
        <v>0</v>
      </c>
    </row>
    <row r="34" spans="1:4" x14ac:dyDescent="0.45">
      <c r="A34" t="s">
        <v>87</v>
      </c>
      <c r="B34" t="s">
        <v>10</v>
      </c>
      <c r="C34">
        <v>0.33400000000000002</v>
      </c>
      <c r="D34">
        <v>0</v>
      </c>
    </row>
    <row r="35" spans="1:4" x14ac:dyDescent="0.45">
      <c r="A35" t="s">
        <v>87</v>
      </c>
      <c r="B35" t="s">
        <v>15</v>
      </c>
      <c r="C35">
        <v>3.91</v>
      </c>
      <c r="D35">
        <v>0</v>
      </c>
    </row>
    <row r="36" spans="1:4" x14ac:dyDescent="0.45">
      <c r="A36" t="s">
        <v>87</v>
      </c>
      <c r="B36" t="s">
        <v>20</v>
      </c>
      <c r="C36">
        <v>1.93</v>
      </c>
      <c r="D36">
        <v>0</v>
      </c>
    </row>
    <row r="37" spans="1:4" x14ac:dyDescent="0.45">
      <c r="A37" t="s">
        <v>87</v>
      </c>
      <c r="B37" t="s">
        <v>23</v>
      </c>
      <c r="C37">
        <v>1.758</v>
      </c>
      <c r="D37">
        <v>0</v>
      </c>
    </row>
    <row r="38" spans="1:4" x14ac:dyDescent="0.45">
      <c r="A38" t="s">
        <v>87</v>
      </c>
      <c r="B38" t="s">
        <v>26</v>
      </c>
      <c r="C38">
        <v>3.77</v>
      </c>
      <c r="D38">
        <v>0</v>
      </c>
    </row>
    <row r="39" spans="1:4" x14ac:dyDescent="0.45">
      <c r="A39" t="s">
        <v>87</v>
      </c>
      <c r="B39" t="s">
        <v>29</v>
      </c>
      <c r="C39">
        <v>0.99</v>
      </c>
      <c r="D39">
        <v>0</v>
      </c>
    </row>
    <row r="40" spans="1:4" x14ac:dyDescent="0.45">
      <c r="A40" t="s">
        <v>87</v>
      </c>
      <c r="B40" t="s">
        <v>32</v>
      </c>
      <c r="C40">
        <v>0</v>
      </c>
      <c r="D40">
        <v>1.3440000000000001</v>
      </c>
    </row>
    <row r="41" spans="1:4" x14ac:dyDescent="0.45">
      <c r="A41" t="s">
        <v>87</v>
      </c>
      <c r="B41" t="s">
        <v>35</v>
      </c>
      <c r="C41">
        <v>2.0219999999999998</v>
      </c>
      <c r="D41">
        <v>0</v>
      </c>
    </row>
    <row r="42" spans="1:4" x14ac:dyDescent="0.45">
      <c r="A42" t="s">
        <v>104</v>
      </c>
      <c r="B42" t="s">
        <v>10</v>
      </c>
      <c r="C42">
        <v>1.65</v>
      </c>
      <c r="D42">
        <v>0</v>
      </c>
    </row>
    <row r="43" spans="1:4" x14ac:dyDescent="0.45">
      <c r="A43" t="s">
        <v>104</v>
      </c>
      <c r="B43" t="s">
        <v>15</v>
      </c>
      <c r="C43">
        <v>4.6340000000000003</v>
      </c>
      <c r="D43">
        <v>0</v>
      </c>
    </row>
    <row r="44" spans="1:4" x14ac:dyDescent="0.45">
      <c r="A44" t="s">
        <v>104</v>
      </c>
      <c r="B44" t="s">
        <v>20</v>
      </c>
      <c r="C44">
        <v>3.02</v>
      </c>
      <c r="D44">
        <v>0</v>
      </c>
    </row>
    <row r="45" spans="1:4" x14ac:dyDescent="0.45">
      <c r="A45" t="s">
        <v>104</v>
      </c>
      <c r="B45" t="s">
        <v>23</v>
      </c>
      <c r="C45">
        <v>2.9279999999999999</v>
      </c>
      <c r="D45">
        <v>0</v>
      </c>
    </row>
    <row r="46" spans="1:4" x14ac:dyDescent="0.45">
      <c r="A46" t="s">
        <v>104</v>
      </c>
      <c r="B46" t="s">
        <v>26</v>
      </c>
      <c r="C46">
        <v>4.7160000000000002</v>
      </c>
      <c r="D46">
        <v>0</v>
      </c>
    </row>
    <row r="47" spans="1:4" x14ac:dyDescent="0.45">
      <c r="A47" t="s">
        <v>104</v>
      </c>
      <c r="B47" t="s">
        <v>29</v>
      </c>
      <c r="C47">
        <v>2.1</v>
      </c>
      <c r="D47">
        <v>0</v>
      </c>
    </row>
    <row r="48" spans="1:4" x14ac:dyDescent="0.45">
      <c r="A48" t="s">
        <v>104</v>
      </c>
      <c r="B48" t="s">
        <v>32</v>
      </c>
      <c r="C48">
        <v>0.14399999999999999</v>
      </c>
      <c r="D48">
        <v>0</v>
      </c>
    </row>
    <row r="49" spans="1:4" x14ac:dyDescent="0.45">
      <c r="A49" t="s">
        <v>104</v>
      </c>
      <c r="B49" t="s">
        <v>35</v>
      </c>
      <c r="C49">
        <v>3.0640000000000001</v>
      </c>
      <c r="D49">
        <v>0</v>
      </c>
    </row>
    <row r="50" spans="1:4" x14ac:dyDescent="0.45">
      <c r="A50" t="s">
        <v>121</v>
      </c>
      <c r="B50" t="s">
        <v>10</v>
      </c>
      <c r="C50">
        <v>3.6120000000000001</v>
      </c>
      <c r="D50">
        <v>0</v>
      </c>
    </row>
    <row r="51" spans="1:4" x14ac:dyDescent="0.45">
      <c r="A51" t="s">
        <v>121</v>
      </c>
      <c r="B51" t="s">
        <v>15</v>
      </c>
      <c r="C51">
        <v>6.0839999999999996</v>
      </c>
      <c r="D51">
        <v>0</v>
      </c>
    </row>
    <row r="52" spans="1:4" x14ac:dyDescent="0.45">
      <c r="A52" t="s">
        <v>121</v>
      </c>
      <c r="B52" t="s">
        <v>20</v>
      </c>
      <c r="C52">
        <v>4.8899999999999997</v>
      </c>
      <c r="D52">
        <v>0</v>
      </c>
    </row>
    <row r="53" spans="1:4" x14ac:dyDescent="0.45">
      <c r="A53" t="s">
        <v>121</v>
      </c>
      <c r="B53" t="s">
        <v>23</v>
      </c>
      <c r="C53">
        <v>4.8920000000000003</v>
      </c>
      <c r="D53">
        <v>0</v>
      </c>
    </row>
    <row r="54" spans="1:4" x14ac:dyDescent="0.45">
      <c r="A54" t="s">
        <v>121</v>
      </c>
      <c r="B54" t="s">
        <v>26</v>
      </c>
      <c r="C54">
        <v>6.3819999999999997</v>
      </c>
      <c r="D54">
        <v>0</v>
      </c>
    </row>
    <row r="55" spans="1:4" x14ac:dyDescent="0.45">
      <c r="A55" t="s">
        <v>121</v>
      </c>
      <c r="B55" t="s">
        <v>29</v>
      </c>
      <c r="C55">
        <v>3.9380000000000002</v>
      </c>
      <c r="D55">
        <v>0</v>
      </c>
    </row>
    <row r="56" spans="1:4" x14ac:dyDescent="0.45">
      <c r="A56" t="s">
        <v>121</v>
      </c>
      <c r="B56" t="s">
        <v>32</v>
      </c>
      <c r="C56">
        <v>2.1960000000000002</v>
      </c>
      <c r="D56">
        <v>0</v>
      </c>
    </row>
    <row r="57" spans="1:4" x14ac:dyDescent="0.45">
      <c r="A57" t="s">
        <v>121</v>
      </c>
      <c r="B57" t="s">
        <v>35</v>
      </c>
      <c r="C57">
        <v>4.6980000000000004</v>
      </c>
      <c r="D57">
        <v>0</v>
      </c>
    </row>
    <row r="58" spans="1:4" x14ac:dyDescent="0.45">
      <c r="A58" t="s">
        <v>138</v>
      </c>
      <c r="B58" t="s">
        <v>10</v>
      </c>
      <c r="C58">
        <v>5.7359999999999998</v>
      </c>
      <c r="D58">
        <v>0</v>
      </c>
    </row>
    <row r="59" spans="1:4" x14ac:dyDescent="0.45">
      <c r="A59" t="s">
        <v>138</v>
      </c>
      <c r="B59" t="s">
        <v>15</v>
      </c>
      <c r="C59">
        <v>7.7480000000000002</v>
      </c>
      <c r="D59">
        <v>0</v>
      </c>
    </row>
    <row r="60" spans="1:4" x14ac:dyDescent="0.45">
      <c r="A60" t="s">
        <v>138</v>
      </c>
      <c r="B60" t="s">
        <v>20</v>
      </c>
      <c r="C60">
        <v>7.08</v>
      </c>
      <c r="D60">
        <v>0</v>
      </c>
    </row>
    <row r="61" spans="1:4" x14ac:dyDescent="0.45">
      <c r="A61" t="s">
        <v>138</v>
      </c>
      <c r="B61" t="s">
        <v>23</v>
      </c>
      <c r="C61">
        <v>7.1479999999999997</v>
      </c>
      <c r="D61">
        <v>0</v>
      </c>
    </row>
    <row r="62" spans="1:4" x14ac:dyDescent="0.45">
      <c r="A62" t="s">
        <v>138</v>
      </c>
      <c r="B62" t="s">
        <v>26</v>
      </c>
      <c r="C62">
        <v>8.3780000000000001</v>
      </c>
      <c r="D62">
        <v>0</v>
      </c>
    </row>
    <row r="63" spans="1:4" x14ac:dyDescent="0.45">
      <c r="A63" t="s">
        <v>138</v>
      </c>
      <c r="B63" t="s">
        <v>29</v>
      </c>
      <c r="C63">
        <v>5.8639999999999999</v>
      </c>
      <c r="D63">
        <v>0</v>
      </c>
    </row>
    <row r="64" spans="1:4" x14ac:dyDescent="0.45">
      <c r="A64" t="s">
        <v>138</v>
      </c>
      <c r="B64" t="s">
        <v>32</v>
      </c>
      <c r="C64">
        <v>4.41</v>
      </c>
      <c r="D64">
        <v>0</v>
      </c>
    </row>
    <row r="65" spans="1:4" x14ac:dyDescent="0.45">
      <c r="A65" t="s">
        <v>138</v>
      </c>
      <c r="B65" t="s">
        <v>35</v>
      </c>
      <c r="C65">
        <v>6.64</v>
      </c>
      <c r="D65">
        <v>0</v>
      </c>
    </row>
    <row r="66" spans="1:4" x14ac:dyDescent="0.45">
      <c r="A66" t="s">
        <v>155</v>
      </c>
      <c r="B66" t="s">
        <v>10</v>
      </c>
      <c r="C66">
        <v>2.5619999999999998</v>
      </c>
      <c r="D66">
        <v>0</v>
      </c>
    </row>
    <row r="67" spans="1:4" x14ac:dyDescent="0.45">
      <c r="A67" t="s">
        <v>155</v>
      </c>
      <c r="B67" t="s">
        <v>15</v>
      </c>
      <c r="C67">
        <v>6.6159999999999997</v>
      </c>
      <c r="D67">
        <v>0</v>
      </c>
    </row>
    <row r="68" spans="1:4" x14ac:dyDescent="0.45">
      <c r="A68" t="s">
        <v>155</v>
      </c>
      <c r="B68" t="s">
        <v>20</v>
      </c>
      <c r="C68">
        <v>4.0199999999999996</v>
      </c>
      <c r="D68">
        <v>0</v>
      </c>
    </row>
    <row r="69" spans="1:4" x14ac:dyDescent="0.45">
      <c r="A69" t="s">
        <v>155</v>
      </c>
      <c r="B69" t="s">
        <v>23</v>
      </c>
      <c r="C69">
        <v>6.06</v>
      </c>
      <c r="D69">
        <v>0</v>
      </c>
    </row>
    <row r="70" spans="1:4" x14ac:dyDescent="0.45">
      <c r="A70" t="s">
        <v>155</v>
      </c>
      <c r="B70" t="s">
        <v>26</v>
      </c>
      <c r="C70">
        <v>5.6779999999999999</v>
      </c>
      <c r="D70">
        <v>0</v>
      </c>
    </row>
    <row r="71" spans="1:4" x14ac:dyDescent="0.45">
      <c r="A71" t="s">
        <v>155</v>
      </c>
      <c r="B71" t="s">
        <v>29</v>
      </c>
      <c r="C71">
        <v>2.944</v>
      </c>
      <c r="D71">
        <v>0</v>
      </c>
    </row>
    <row r="72" spans="1:4" x14ac:dyDescent="0.45">
      <c r="A72" t="s">
        <v>155</v>
      </c>
      <c r="B72" t="s">
        <v>32</v>
      </c>
      <c r="C72">
        <v>4.47</v>
      </c>
      <c r="D72">
        <v>0</v>
      </c>
    </row>
    <row r="73" spans="1:4" x14ac:dyDescent="0.45">
      <c r="A73" t="s">
        <v>155</v>
      </c>
      <c r="B73" t="s">
        <v>35</v>
      </c>
      <c r="C73">
        <v>3.528</v>
      </c>
      <c r="D73">
        <v>0</v>
      </c>
    </row>
    <row r="74" spans="1:4" x14ac:dyDescent="0.45">
      <c r="A74" t="s">
        <v>172</v>
      </c>
      <c r="B74" t="s">
        <v>10</v>
      </c>
      <c r="C74">
        <v>0</v>
      </c>
      <c r="D74">
        <v>0</v>
      </c>
    </row>
    <row r="75" spans="1:4" x14ac:dyDescent="0.45">
      <c r="A75" t="s">
        <v>172</v>
      </c>
      <c r="B75" t="s">
        <v>15</v>
      </c>
      <c r="C75">
        <v>5.5040800000000001</v>
      </c>
      <c r="D75">
        <v>0</v>
      </c>
    </row>
    <row r="76" spans="1:4" x14ac:dyDescent="0.45">
      <c r="A76" t="s">
        <v>172</v>
      </c>
      <c r="B76" t="s">
        <v>20</v>
      </c>
      <c r="C76">
        <v>1.7103999999999999</v>
      </c>
      <c r="D76">
        <v>0</v>
      </c>
    </row>
    <row r="77" spans="1:4" x14ac:dyDescent="0.45">
      <c r="A77" t="s">
        <v>172</v>
      </c>
      <c r="B77" t="s">
        <v>23</v>
      </c>
      <c r="C77">
        <v>5.2603999999999997</v>
      </c>
      <c r="D77">
        <v>0</v>
      </c>
    </row>
    <row r="78" spans="1:4" x14ac:dyDescent="0.45">
      <c r="A78" t="s">
        <v>172</v>
      </c>
      <c r="B78" t="s">
        <v>26</v>
      </c>
      <c r="C78">
        <v>3.3815200000000001</v>
      </c>
      <c r="D78">
        <v>0</v>
      </c>
    </row>
    <row r="79" spans="1:4" x14ac:dyDescent="0.45">
      <c r="A79" t="s">
        <v>172</v>
      </c>
      <c r="B79" t="s">
        <v>29</v>
      </c>
      <c r="C79">
        <v>0.49647999999999998</v>
      </c>
      <c r="D79">
        <v>0</v>
      </c>
    </row>
    <row r="80" spans="1:4" x14ac:dyDescent="0.45">
      <c r="A80" t="s">
        <v>172</v>
      </c>
      <c r="B80" t="s">
        <v>32</v>
      </c>
      <c r="C80">
        <v>4.60928</v>
      </c>
      <c r="D80">
        <v>0</v>
      </c>
    </row>
    <row r="81" spans="1:4" x14ac:dyDescent="0.45">
      <c r="A81" t="s">
        <v>172</v>
      </c>
      <c r="B81" t="s">
        <v>35</v>
      </c>
      <c r="C81">
        <v>1.40784</v>
      </c>
      <c r="D81">
        <v>0</v>
      </c>
    </row>
    <row r="82" spans="1:4" x14ac:dyDescent="0.45">
      <c r="A82" t="s">
        <v>188</v>
      </c>
      <c r="B82" t="s">
        <v>10</v>
      </c>
      <c r="C82">
        <v>0</v>
      </c>
      <c r="D82">
        <v>0.39</v>
      </c>
    </row>
    <row r="83" spans="1:4" x14ac:dyDescent="0.45">
      <c r="A83" t="s">
        <v>188</v>
      </c>
      <c r="B83" t="s">
        <v>15</v>
      </c>
      <c r="C83">
        <v>5.94</v>
      </c>
      <c r="D83">
        <v>0</v>
      </c>
    </row>
    <row r="84" spans="1:4" x14ac:dyDescent="0.45">
      <c r="A84" t="s">
        <v>188</v>
      </c>
      <c r="B84" t="s">
        <v>20</v>
      </c>
      <c r="C84">
        <v>1.5</v>
      </c>
      <c r="D84">
        <v>0</v>
      </c>
    </row>
    <row r="85" spans="1:4" x14ac:dyDescent="0.45">
      <c r="A85" t="s">
        <v>188</v>
      </c>
      <c r="B85" t="s">
        <v>23</v>
      </c>
      <c r="C85">
        <v>6.4</v>
      </c>
      <c r="D85">
        <v>0</v>
      </c>
    </row>
    <row r="86" spans="1:4" x14ac:dyDescent="0.45">
      <c r="A86" t="s">
        <v>188</v>
      </c>
      <c r="B86" t="s">
        <v>26</v>
      </c>
      <c r="C86">
        <v>2.58</v>
      </c>
      <c r="D86">
        <v>0</v>
      </c>
    </row>
    <row r="87" spans="1:4" x14ac:dyDescent="0.45">
      <c r="A87" t="s">
        <v>188</v>
      </c>
      <c r="B87" t="s">
        <v>29</v>
      </c>
      <c r="C87">
        <v>0.24</v>
      </c>
      <c r="D87">
        <v>0</v>
      </c>
    </row>
    <row r="88" spans="1:4" x14ac:dyDescent="0.45">
      <c r="A88" t="s">
        <v>188</v>
      </c>
      <c r="B88" t="s">
        <v>32</v>
      </c>
      <c r="C88">
        <v>7.24</v>
      </c>
      <c r="D88">
        <v>0</v>
      </c>
    </row>
    <row r="89" spans="1:4" x14ac:dyDescent="0.45">
      <c r="A89" t="s">
        <v>188</v>
      </c>
      <c r="B89" t="s">
        <v>35</v>
      </c>
      <c r="C89">
        <v>2.65</v>
      </c>
      <c r="D89">
        <v>0</v>
      </c>
    </row>
    <row r="90" spans="1:4" x14ac:dyDescent="0.45">
      <c r="A90" t="s">
        <v>205</v>
      </c>
      <c r="B90" t="s">
        <v>10</v>
      </c>
      <c r="C90">
        <v>0</v>
      </c>
      <c r="D90">
        <v>3.05</v>
      </c>
    </row>
    <row r="91" spans="1:4" x14ac:dyDescent="0.45">
      <c r="A91" t="s">
        <v>205</v>
      </c>
      <c r="B91" t="s">
        <v>15</v>
      </c>
      <c r="C91">
        <v>4.46</v>
      </c>
      <c r="D91">
        <v>0</v>
      </c>
    </row>
    <row r="92" spans="1:4" x14ac:dyDescent="0.45">
      <c r="A92" t="s">
        <v>205</v>
      </c>
      <c r="B92" t="s">
        <v>20</v>
      </c>
      <c r="C92">
        <v>0</v>
      </c>
      <c r="D92">
        <v>0.79</v>
      </c>
    </row>
    <row r="93" spans="1:4" x14ac:dyDescent="0.45">
      <c r="A93" t="s">
        <v>205</v>
      </c>
      <c r="B93" t="s">
        <v>23</v>
      </c>
      <c r="C93">
        <v>4.9400000000000004</v>
      </c>
      <c r="D93">
        <v>0</v>
      </c>
    </row>
    <row r="94" spans="1:4" x14ac:dyDescent="0.45">
      <c r="A94" t="s">
        <v>205</v>
      </c>
      <c r="B94" t="s">
        <v>26</v>
      </c>
      <c r="C94">
        <v>0.49</v>
      </c>
      <c r="D94">
        <v>0</v>
      </c>
    </row>
    <row r="95" spans="1:4" x14ac:dyDescent="0.45">
      <c r="A95" t="s">
        <v>205</v>
      </c>
      <c r="B95" t="s">
        <v>29</v>
      </c>
      <c r="C95">
        <v>0</v>
      </c>
      <c r="D95">
        <v>2.3199999999999998</v>
      </c>
    </row>
    <row r="96" spans="1:4" x14ac:dyDescent="0.45">
      <c r="A96" t="s">
        <v>205</v>
      </c>
      <c r="B96" t="s">
        <v>32</v>
      </c>
      <c r="C96">
        <v>6.38</v>
      </c>
      <c r="D96">
        <v>0</v>
      </c>
    </row>
    <row r="97" spans="1:4" x14ac:dyDescent="0.45">
      <c r="A97" t="s">
        <v>205</v>
      </c>
      <c r="B97" t="s">
        <v>35</v>
      </c>
      <c r="C97">
        <v>2.95</v>
      </c>
      <c r="D97">
        <v>0</v>
      </c>
    </row>
    <row r="98" spans="1:4" x14ac:dyDescent="0.45">
      <c r="A98" t="s">
        <v>222</v>
      </c>
      <c r="B98" t="s">
        <v>10</v>
      </c>
      <c r="C98">
        <v>0</v>
      </c>
      <c r="D98">
        <v>4.12</v>
      </c>
    </row>
    <row r="99" spans="1:4" x14ac:dyDescent="0.45">
      <c r="A99" t="s">
        <v>222</v>
      </c>
      <c r="B99" t="s">
        <v>15</v>
      </c>
      <c r="C99">
        <v>4.0999999999999996</v>
      </c>
      <c r="D99">
        <v>0</v>
      </c>
    </row>
    <row r="100" spans="1:4" x14ac:dyDescent="0.45">
      <c r="A100" t="s">
        <v>222</v>
      </c>
      <c r="B100" t="s">
        <v>20</v>
      </c>
      <c r="C100">
        <v>0</v>
      </c>
      <c r="D100">
        <v>1.57</v>
      </c>
    </row>
    <row r="101" spans="1:4" x14ac:dyDescent="0.45">
      <c r="A101" t="s">
        <v>222</v>
      </c>
      <c r="B101" t="s">
        <v>23</v>
      </c>
      <c r="C101">
        <v>4.34</v>
      </c>
      <c r="D101">
        <v>0</v>
      </c>
    </row>
    <row r="102" spans="1:4" x14ac:dyDescent="0.45">
      <c r="A102" t="s">
        <v>222</v>
      </c>
      <c r="B102" t="s">
        <v>26</v>
      </c>
      <c r="C102">
        <v>0</v>
      </c>
      <c r="D102">
        <v>0</v>
      </c>
    </row>
    <row r="103" spans="1:4" x14ac:dyDescent="0.45">
      <c r="A103" t="s">
        <v>222</v>
      </c>
      <c r="B103" t="s">
        <v>29</v>
      </c>
      <c r="C103">
        <v>0</v>
      </c>
      <c r="D103">
        <v>3.45</v>
      </c>
    </row>
    <row r="104" spans="1:4" x14ac:dyDescent="0.45">
      <c r="A104" t="s">
        <v>222</v>
      </c>
      <c r="B104" t="s">
        <v>32</v>
      </c>
      <c r="C104">
        <v>5.95</v>
      </c>
      <c r="D104">
        <v>0</v>
      </c>
    </row>
    <row r="105" spans="1:4" x14ac:dyDescent="0.45">
      <c r="A105" t="s">
        <v>222</v>
      </c>
      <c r="B105" t="s">
        <v>35</v>
      </c>
      <c r="C105">
        <v>6.79</v>
      </c>
      <c r="D105">
        <v>0</v>
      </c>
    </row>
    <row r="106" spans="1:4" x14ac:dyDescent="0.45">
      <c r="A106" t="s">
        <v>238</v>
      </c>
      <c r="B106" t="s">
        <v>10</v>
      </c>
      <c r="C106">
        <v>0</v>
      </c>
      <c r="D106">
        <v>3.77</v>
      </c>
    </row>
    <row r="107" spans="1:4" x14ac:dyDescent="0.45">
      <c r="A107" t="s">
        <v>238</v>
      </c>
      <c r="B107" t="s">
        <v>15</v>
      </c>
      <c r="C107">
        <v>4.6399999999999997</v>
      </c>
      <c r="D107">
        <v>0</v>
      </c>
    </row>
    <row r="108" spans="1:4" x14ac:dyDescent="0.45">
      <c r="A108" t="s">
        <v>238</v>
      </c>
      <c r="B108" t="s">
        <v>20</v>
      </c>
      <c r="C108">
        <v>0</v>
      </c>
      <c r="D108">
        <v>1.1499999999999999</v>
      </c>
    </row>
    <row r="109" spans="1:4" x14ac:dyDescent="0.45">
      <c r="A109" t="s">
        <v>238</v>
      </c>
      <c r="B109" t="s">
        <v>23</v>
      </c>
      <c r="C109">
        <v>4.8899999999999997</v>
      </c>
      <c r="D109">
        <v>0</v>
      </c>
    </row>
    <row r="110" spans="1:4" x14ac:dyDescent="0.45">
      <c r="A110" t="s">
        <v>238</v>
      </c>
      <c r="B110" t="s">
        <v>26</v>
      </c>
      <c r="C110">
        <v>0.66</v>
      </c>
      <c r="D110">
        <v>0</v>
      </c>
    </row>
    <row r="111" spans="1:4" x14ac:dyDescent="0.45">
      <c r="A111" t="s">
        <v>238</v>
      </c>
      <c r="B111" t="s">
        <v>29</v>
      </c>
      <c r="C111">
        <v>0</v>
      </c>
      <c r="D111">
        <v>3.23</v>
      </c>
    </row>
    <row r="112" spans="1:4" x14ac:dyDescent="0.45">
      <c r="A112" t="s">
        <v>238</v>
      </c>
      <c r="B112" t="s">
        <v>32</v>
      </c>
      <c r="C112">
        <v>6.18</v>
      </c>
      <c r="D112">
        <v>0</v>
      </c>
    </row>
    <row r="113" spans="1:4" x14ac:dyDescent="0.45">
      <c r="A113" t="s">
        <v>238</v>
      </c>
      <c r="B113" t="s">
        <v>35</v>
      </c>
      <c r="C113">
        <v>11.13</v>
      </c>
      <c r="D113">
        <v>0</v>
      </c>
    </row>
    <row r="114" spans="1:4" x14ac:dyDescent="0.45">
      <c r="A114" t="s">
        <v>253</v>
      </c>
      <c r="B114" t="s">
        <v>10</v>
      </c>
      <c r="C114">
        <v>0</v>
      </c>
      <c r="D114">
        <v>2.84</v>
      </c>
    </row>
    <row r="115" spans="1:4" x14ac:dyDescent="0.45">
      <c r="A115" t="s">
        <v>253</v>
      </c>
      <c r="B115" t="s">
        <v>15</v>
      </c>
      <c r="C115">
        <v>5.5259999999999998</v>
      </c>
      <c r="D115">
        <v>0</v>
      </c>
    </row>
    <row r="116" spans="1:4" x14ac:dyDescent="0.45">
      <c r="A116" t="s">
        <v>253</v>
      </c>
      <c r="B116" t="s">
        <v>20</v>
      </c>
      <c r="C116">
        <v>0</v>
      </c>
      <c r="D116">
        <v>0</v>
      </c>
    </row>
    <row r="117" spans="1:4" x14ac:dyDescent="0.45">
      <c r="A117" t="s">
        <v>253</v>
      </c>
      <c r="B117" t="s">
        <v>23</v>
      </c>
      <c r="C117">
        <v>6.1340000000000003</v>
      </c>
      <c r="D117">
        <v>0</v>
      </c>
    </row>
    <row r="118" spans="1:4" x14ac:dyDescent="0.45">
      <c r="A118" t="s">
        <v>253</v>
      </c>
      <c r="B118" t="s">
        <v>26</v>
      </c>
      <c r="C118">
        <v>2.1760000000000002</v>
      </c>
      <c r="D118">
        <v>0</v>
      </c>
    </row>
    <row r="119" spans="1:4" x14ac:dyDescent="0.45">
      <c r="A119" t="s">
        <v>253</v>
      </c>
      <c r="B119" t="s">
        <v>29</v>
      </c>
      <c r="C119">
        <v>0</v>
      </c>
      <c r="D119">
        <v>2.3679999999999999</v>
      </c>
    </row>
    <row r="120" spans="1:4" x14ac:dyDescent="0.45">
      <c r="A120" t="s">
        <v>253</v>
      </c>
      <c r="B120" t="s">
        <v>32</v>
      </c>
      <c r="C120">
        <v>6.5579999999999998</v>
      </c>
      <c r="D120">
        <v>0</v>
      </c>
    </row>
    <row r="121" spans="1:4" x14ac:dyDescent="0.45">
      <c r="A121" t="s">
        <v>253</v>
      </c>
      <c r="B121" t="s">
        <v>35</v>
      </c>
      <c r="C121">
        <v>11.646000000000001</v>
      </c>
      <c r="D121">
        <v>0</v>
      </c>
    </row>
    <row r="122" spans="1:4" x14ac:dyDescent="0.45">
      <c r="A122" t="s">
        <v>269</v>
      </c>
      <c r="B122" t="s">
        <v>10</v>
      </c>
      <c r="C122">
        <v>0</v>
      </c>
      <c r="D122">
        <v>2.718</v>
      </c>
    </row>
    <row r="123" spans="1:4" x14ac:dyDescent="0.45">
      <c r="A123" t="s">
        <v>269</v>
      </c>
      <c r="B123" t="s">
        <v>15</v>
      </c>
      <c r="C123">
        <v>5.8239999999999998</v>
      </c>
      <c r="D123">
        <v>0</v>
      </c>
    </row>
    <row r="124" spans="1:4" x14ac:dyDescent="0.45">
      <c r="A124" t="s">
        <v>269</v>
      </c>
      <c r="B124" t="s">
        <v>20</v>
      </c>
      <c r="C124">
        <v>0.43</v>
      </c>
      <c r="D124">
        <v>0</v>
      </c>
    </row>
    <row r="125" spans="1:4" x14ac:dyDescent="0.45">
      <c r="A125" t="s">
        <v>269</v>
      </c>
      <c r="B125" t="s">
        <v>23</v>
      </c>
      <c r="C125">
        <v>5.9080000000000004</v>
      </c>
      <c r="D125">
        <v>0</v>
      </c>
    </row>
    <row r="126" spans="1:4" x14ac:dyDescent="0.45">
      <c r="A126" t="s">
        <v>269</v>
      </c>
      <c r="B126" t="s">
        <v>26</v>
      </c>
      <c r="C126">
        <v>3.226</v>
      </c>
      <c r="D126">
        <v>0</v>
      </c>
    </row>
    <row r="127" spans="1:4" x14ac:dyDescent="0.45">
      <c r="A127" t="s">
        <v>269</v>
      </c>
      <c r="B127" t="s">
        <v>29</v>
      </c>
      <c r="C127">
        <v>0</v>
      </c>
      <c r="D127">
        <v>2.4079999999999999</v>
      </c>
    </row>
    <row r="128" spans="1:4" x14ac:dyDescent="0.45">
      <c r="A128" t="s">
        <v>269</v>
      </c>
      <c r="B128" t="s">
        <v>32</v>
      </c>
      <c r="C128">
        <v>4.5620000000000003</v>
      </c>
      <c r="D128">
        <v>0</v>
      </c>
    </row>
    <row r="129" spans="1:4" x14ac:dyDescent="0.45">
      <c r="A129" t="s">
        <v>269</v>
      </c>
      <c r="B129" t="s">
        <v>35</v>
      </c>
      <c r="C129">
        <v>7.3739999999999997</v>
      </c>
      <c r="D129">
        <v>0</v>
      </c>
    </row>
    <row r="130" spans="1:4" x14ac:dyDescent="0.45">
      <c r="A130" t="s">
        <v>286</v>
      </c>
      <c r="B130" t="s">
        <v>10</v>
      </c>
      <c r="C130">
        <v>0.68799999999999994</v>
      </c>
      <c r="D130">
        <v>0</v>
      </c>
    </row>
    <row r="131" spans="1:4" x14ac:dyDescent="0.45">
      <c r="A131" t="s">
        <v>286</v>
      </c>
      <c r="B131" t="s">
        <v>15</v>
      </c>
      <c r="C131">
        <v>8.26</v>
      </c>
      <c r="D131">
        <v>0</v>
      </c>
    </row>
    <row r="132" spans="1:4" x14ac:dyDescent="0.45">
      <c r="A132" t="s">
        <v>286</v>
      </c>
      <c r="B132" t="s">
        <v>20</v>
      </c>
      <c r="C132">
        <v>4.25</v>
      </c>
      <c r="D132">
        <v>0</v>
      </c>
    </row>
    <row r="133" spans="1:4" x14ac:dyDescent="0.45">
      <c r="A133" t="s">
        <v>286</v>
      </c>
      <c r="B133" t="s">
        <v>23</v>
      </c>
      <c r="C133">
        <v>8.5500000000000007</v>
      </c>
      <c r="D133">
        <v>0</v>
      </c>
    </row>
    <row r="134" spans="1:4" x14ac:dyDescent="0.45">
      <c r="A134" t="s">
        <v>286</v>
      </c>
      <c r="B134" t="s">
        <v>26</v>
      </c>
      <c r="C134">
        <v>7</v>
      </c>
      <c r="D134">
        <v>0</v>
      </c>
    </row>
    <row r="135" spans="1:4" x14ac:dyDescent="0.45">
      <c r="A135" t="s">
        <v>286</v>
      </c>
      <c r="B135" t="s">
        <v>29</v>
      </c>
      <c r="C135">
        <v>0.83</v>
      </c>
      <c r="D135">
        <v>0</v>
      </c>
    </row>
    <row r="136" spans="1:4" x14ac:dyDescent="0.45">
      <c r="A136" t="s">
        <v>286</v>
      </c>
      <c r="B136" t="s">
        <v>32</v>
      </c>
      <c r="C136">
        <v>5.83</v>
      </c>
      <c r="D136">
        <v>0</v>
      </c>
    </row>
    <row r="137" spans="1:4" x14ac:dyDescent="0.45">
      <c r="A137" t="s">
        <v>286</v>
      </c>
      <c r="B137" t="s">
        <v>35</v>
      </c>
      <c r="C137">
        <v>6.77</v>
      </c>
      <c r="D137">
        <v>0</v>
      </c>
    </row>
    <row r="138" spans="1:4" x14ac:dyDescent="0.45">
      <c r="A138" t="s">
        <v>302</v>
      </c>
      <c r="B138" t="s">
        <v>10</v>
      </c>
      <c r="C138">
        <v>4.992</v>
      </c>
      <c r="D138">
        <v>0</v>
      </c>
    </row>
    <row r="139" spans="1:4" x14ac:dyDescent="0.45">
      <c r="A139" t="s">
        <v>302</v>
      </c>
      <c r="B139" t="s">
        <v>15</v>
      </c>
      <c r="C139">
        <v>10.885999999999999</v>
      </c>
      <c r="D139">
        <v>0</v>
      </c>
    </row>
    <row r="140" spans="1:4" x14ac:dyDescent="0.45">
      <c r="A140" t="s">
        <v>302</v>
      </c>
      <c r="B140" t="s">
        <v>20</v>
      </c>
      <c r="C140">
        <v>8.6300000000000008</v>
      </c>
      <c r="D140">
        <v>0</v>
      </c>
    </row>
    <row r="141" spans="1:4" x14ac:dyDescent="0.45">
      <c r="A141" t="s">
        <v>302</v>
      </c>
      <c r="B141" t="s">
        <v>23</v>
      </c>
      <c r="C141">
        <v>11.214</v>
      </c>
      <c r="D141">
        <v>0</v>
      </c>
    </row>
    <row r="142" spans="1:4" x14ac:dyDescent="0.45">
      <c r="A142" t="s">
        <v>302</v>
      </c>
      <c r="B142" t="s">
        <v>26</v>
      </c>
      <c r="C142">
        <v>11.1</v>
      </c>
      <c r="D142">
        <v>0</v>
      </c>
    </row>
    <row r="143" spans="1:4" x14ac:dyDescent="0.45">
      <c r="A143" t="s">
        <v>302</v>
      </c>
      <c r="B143" t="s">
        <v>29</v>
      </c>
      <c r="C143">
        <v>4.8520000000000003</v>
      </c>
      <c r="D143">
        <v>0</v>
      </c>
    </row>
    <row r="144" spans="1:4" x14ac:dyDescent="0.45">
      <c r="A144" t="s">
        <v>302</v>
      </c>
      <c r="B144" t="s">
        <v>32</v>
      </c>
      <c r="C144">
        <v>7.1840000000000002</v>
      </c>
      <c r="D144">
        <v>0</v>
      </c>
    </row>
    <row r="145" spans="1:4" x14ac:dyDescent="0.45">
      <c r="A145" t="s">
        <v>302</v>
      </c>
      <c r="B145" t="s">
        <v>35</v>
      </c>
      <c r="C145">
        <v>6.89</v>
      </c>
      <c r="D145">
        <v>0</v>
      </c>
    </row>
    <row r="146" spans="1:4" x14ac:dyDescent="0.45">
      <c r="A146" t="s">
        <v>319</v>
      </c>
      <c r="B146" t="s">
        <v>10</v>
      </c>
      <c r="C146">
        <v>7.9480000000000004</v>
      </c>
      <c r="D146">
        <v>0</v>
      </c>
    </row>
    <row r="147" spans="1:4" x14ac:dyDescent="0.45">
      <c r="A147" t="s">
        <v>319</v>
      </c>
      <c r="B147" t="s">
        <v>15</v>
      </c>
      <c r="C147">
        <v>12.348000000000001</v>
      </c>
      <c r="D147">
        <v>0</v>
      </c>
    </row>
    <row r="148" spans="1:4" x14ac:dyDescent="0.45">
      <c r="A148" t="s">
        <v>319</v>
      </c>
      <c r="B148" t="s">
        <v>20</v>
      </c>
      <c r="C148">
        <v>11.49</v>
      </c>
      <c r="D148">
        <v>0</v>
      </c>
    </row>
    <row r="149" spans="1:4" x14ac:dyDescent="0.45">
      <c r="A149" t="s">
        <v>319</v>
      </c>
      <c r="B149" t="s">
        <v>23</v>
      </c>
      <c r="C149">
        <v>12.374000000000001</v>
      </c>
      <c r="D149">
        <v>0</v>
      </c>
    </row>
    <row r="150" spans="1:4" x14ac:dyDescent="0.45">
      <c r="A150" t="s">
        <v>319</v>
      </c>
      <c r="B150" t="s">
        <v>26</v>
      </c>
      <c r="C150">
        <v>13.582000000000001</v>
      </c>
      <c r="D150">
        <v>0</v>
      </c>
    </row>
    <row r="151" spans="1:4" x14ac:dyDescent="0.45">
      <c r="A151" t="s">
        <v>319</v>
      </c>
      <c r="B151" t="s">
        <v>29</v>
      </c>
      <c r="C151">
        <v>7.8440000000000003</v>
      </c>
      <c r="D151">
        <v>0</v>
      </c>
    </row>
    <row r="152" spans="1:4" x14ac:dyDescent="0.45">
      <c r="A152" t="s">
        <v>319</v>
      </c>
      <c r="B152" t="s">
        <v>32</v>
      </c>
      <c r="C152">
        <v>7.4960000000000004</v>
      </c>
      <c r="D152">
        <v>0</v>
      </c>
    </row>
    <row r="153" spans="1:4" x14ac:dyDescent="0.45">
      <c r="A153" t="s">
        <v>319</v>
      </c>
      <c r="B153" t="s">
        <v>35</v>
      </c>
      <c r="C153">
        <v>7.718</v>
      </c>
      <c r="D153">
        <v>0</v>
      </c>
    </row>
    <row r="154" spans="1:4" x14ac:dyDescent="0.45">
      <c r="A154" t="s">
        <v>336</v>
      </c>
      <c r="B154" t="s">
        <v>10</v>
      </c>
      <c r="C154">
        <v>9.0839999999999996</v>
      </c>
      <c r="D154">
        <v>0</v>
      </c>
    </row>
    <row r="155" spans="1:4" x14ac:dyDescent="0.45">
      <c r="A155" t="s">
        <v>336</v>
      </c>
      <c r="B155" t="s">
        <v>15</v>
      </c>
      <c r="C155">
        <v>12.596</v>
      </c>
      <c r="D155">
        <v>0</v>
      </c>
    </row>
    <row r="156" spans="1:4" x14ac:dyDescent="0.45">
      <c r="A156" t="s">
        <v>336</v>
      </c>
      <c r="B156" t="s">
        <v>20</v>
      </c>
      <c r="C156">
        <v>12.38</v>
      </c>
      <c r="D156">
        <v>0</v>
      </c>
    </row>
    <row r="157" spans="1:4" x14ac:dyDescent="0.45">
      <c r="A157" t="s">
        <v>336</v>
      </c>
      <c r="B157" t="s">
        <v>23</v>
      </c>
      <c r="C157">
        <v>12.007999999999999</v>
      </c>
      <c r="D157">
        <v>0</v>
      </c>
    </row>
    <row r="158" spans="1:4" x14ac:dyDescent="0.45">
      <c r="A158" t="s">
        <v>336</v>
      </c>
      <c r="B158" t="s">
        <v>26</v>
      </c>
      <c r="C158">
        <v>14.096</v>
      </c>
      <c r="D158">
        <v>0</v>
      </c>
    </row>
    <row r="159" spans="1:4" x14ac:dyDescent="0.45">
      <c r="A159" t="s">
        <v>336</v>
      </c>
      <c r="B159" t="s">
        <v>29</v>
      </c>
      <c r="C159">
        <v>9.1760000000000002</v>
      </c>
      <c r="D159">
        <v>0</v>
      </c>
    </row>
    <row r="160" spans="1:4" x14ac:dyDescent="0.45">
      <c r="A160" t="s">
        <v>336</v>
      </c>
      <c r="B160" t="s">
        <v>32</v>
      </c>
      <c r="C160">
        <v>6.94</v>
      </c>
      <c r="D160">
        <v>0</v>
      </c>
    </row>
    <row r="161" spans="1:4" x14ac:dyDescent="0.45">
      <c r="A161" t="s">
        <v>336</v>
      </c>
      <c r="B161" t="s">
        <v>35</v>
      </c>
      <c r="C161">
        <v>8.9740000000000002</v>
      </c>
      <c r="D161">
        <v>0</v>
      </c>
    </row>
    <row r="162" spans="1:4" x14ac:dyDescent="0.45">
      <c r="A162" t="s">
        <v>353</v>
      </c>
      <c r="B162" t="s">
        <v>10</v>
      </c>
      <c r="C162">
        <v>7.298</v>
      </c>
      <c r="D162">
        <v>0</v>
      </c>
    </row>
    <row r="163" spans="1:4" x14ac:dyDescent="0.45">
      <c r="A163" t="s">
        <v>353</v>
      </c>
      <c r="B163" t="s">
        <v>15</v>
      </c>
      <c r="C163" t="s">
        <v>356</v>
      </c>
      <c r="D163" t="s">
        <v>12</v>
      </c>
    </row>
    <row r="164" spans="1:4" x14ac:dyDescent="0.45">
      <c r="A164" t="s">
        <v>353</v>
      </c>
      <c r="B164" t="s">
        <v>20</v>
      </c>
      <c r="C164" t="s">
        <v>358</v>
      </c>
      <c r="D164" t="s">
        <v>12</v>
      </c>
    </row>
    <row r="165" spans="1:4" x14ac:dyDescent="0.45">
      <c r="A165" t="s">
        <v>353</v>
      </c>
      <c r="B165" t="s">
        <v>23</v>
      </c>
      <c r="C165" t="s">
        <v>360</v>
      </c>
      <c r="D165" t="s">
        <v>12</v>
      </c>
    </row>
    <row r="166" spans="1:4" x14ac:dyDescent="0.45">
      <c r="A166" t="s">
        <v>353</v>
      </c>
      <c r="B166" t="s">
        <v>26</v>
      </c>
      <c r="C166" t="s">
        <v>362</v>
      </c>
      <c r="D166" t="s">
        <v>12</v>
      </c>
    </row>
    <row r="167" spans="1:4" x14ac:dyDescent="0.45">
      <c r="A167" t="s">
        <v>353</v>
      </c>
      <c r="B167" t="s">
        <v>29</v>
      </c>
      <c r="C167" t="s">
        <v>364</v>
      </c>
      <c r="D167" t="s">
        <v>12</v>
      </c>
    </row>
    <row r="168" spans="1:4" x14ac:dyDescent="0.45">
      <c r="A168" t="s">
        <v>353</v>
      </c>
      <c r="B168" t="s">
        <v>32</v>
      </c>
      <c r="C168" t="s">
        <v>366</v>
      </c>
      <c r="D168" t="s">
        <v>12</v>
      </c>
    </row>
    <row r="169" spans="1:4" x14ac:dyDescent="0.45">
      <c r="A169" t="s">
        <v>353</v>
      </c>
      <c r="B169" t="s">
        <v>35</v>
      </c>
      <c r="C169" t="s">
        <v>368</v>
      </c>
      <c r="D169" t="s">
        <v>12</v>
      </c>
    </row>
    <row r="170" spans="1:4" x14ac:dyDescent="0.45">
      <c r="A170" t="s">
        <v>370</v>
      </c>
      <c r="B170" t="s">
        <v>10</v>
      </c>
      <c r="C170">
        <v>5.2960000000000003</v>
      </c>
      <c r="D170">
        <v>0</v>
      </c>
    </row>
    <row r="171" spans="1:4" x14ac:dyDescent="0.45">
      <c r="A171" t="s">
        <v>370</v>
      </c>
      <c r="B171" t="s">
        <v>15</v>
      </c>
      <c r="C171" t="s">
        <v>373</v>
      </c>
      <c r="D171" t="s">
        <v>12</v>
      </c>
    </row>
    <row r="172" spans="1:4" x14ac:dyDescent="0.45">
      <c r="A172" t="s">
        <v>370</v>
      </c>
      <c r="B172" t="s">
        <v>20</v>
      </c>
      <c r="C172" t="s">
        <v>375</v>
      </c>
      <c r="D172" t="s">
        <v>12</v>
      </c>
    </row>
    <row r="173" spans="1:4" x14ac:dyDescent="0.45">
      <c r="A173" t="s">
        <v>370</v>
      </c>
      <c r="B173" t="s">
        <v>23</v>
      </c>
      <c r="C173" t="s">
        <v>377</v>
      </c>
      <c r="D173" t="s">
        <v>12</v>
      </c>
    </row>
    <row r="174" spans="1:4" x14ac:dyDescent="0.45">
      <c r="A174" t="s">
        <v>370</v>
      </c>
      <c r="B174" t="s">
        <v>26</v>
      </c>
      <c r="C174" t="s">
        <v>379</v>
      </c>
      <c r="D174" t="s">
        <v>12</v>
      </c>
    </row>
    <row r="175" spans="1:4" x14ac:dyDescent="0.45">
      <c r="A175" t="s">
        <v>370</v>
      </c>
      <c r="B175" t="s">
        <v>29</v>
      </c>
      <c r="C175" t="s">
        <v>381</v>
      </c>
      <c r="D175" t="s">
        <v>12</v>
      </c>
    </row>
    <row r="176" spans="1:4" x14ac:dyDescent="0.45">
      <c r="A176" t="s">
        <v>370</v>
      </c>
      <c r="B176" t="s">
        <v>32</v>
      </c>
      <c r="C176" t="s">
        <v>383</v>
      </c>
      <c r="D176" t="s">
        <v>12</v>
      </c>
    </row>
    <row r="177" spans="1:4" x14ac:dyDescent="0.45">
      <c r="A177" t="s">
        <v>370</v>
      </c>
      <c r="B177" t="s">
        <v>35</v>
      </c>
      <c r="C177" t="s">
        <v>385</v>
      </c>
      <c r="D177" t="s">
        <v>12</v>
      </c>
    </row>
    <row r="178" spans="1:4" x14ac:dyDescent="0.45">
      <c r="A178" t="s">
        <v>387</v>
      </c>
      <c r="B178" t="s">
        <v>10</v>
      </c>
      <c r="C178">
        <v>3.5139999999999998</v>
      </c>
      <c r="D178">
        <v>0</v>
      </c>
    </row>
    <row r="179" spans="1:4" x14ac:dyDescent="0.45">
      <c r="A179" t="s">
        <v>387</v>
      </c>
      <c r="B179" t="s">
        <v>15</v>
      </c>
      <c r="C179">
        <v>7.72</v>
      </c>
      <c r="D179">
        <v>0</v>
      </c>
    </row>
    <row r="180" spans="1:4" x14ac:dyDescent="0.45">
      <c r="A180" t="s">
        <v>387</v>
      </c>
      <c r="B180" t="s">
        <v>20</v>
      </c>
      <c r="C180">
        <v>6.01</v>
      </c>
      <c r="D180">
        <v>0</v>
      </c>
    </row>
    <row r="181" spans="1:4" x14ac:dyDescent="0.45">
      <c r="A181" t="s">
        <v>387</v>
      </c>
      <c r="B181" t="s">
        <v>23</v>
      </c>
      <c r="C181">
        <v>5.8079999999999998</v>
      </c>
      <c r="D181">
        <v>0</v>
      </c>
    </row>
    <row r="182" spans="1:4" x14ac:dyDescent="0.45">
      <c r="A182" t="s">
        <v>387</v>
      </c>
      <c r="B182" t="s">
        <v>26</v>
      </c>
      <c r="C182">
        <v>8.0039999999999996</v>
      </c>
      <c r="D182">
        <v>0</v>
      </c>
    </row>
    <row r="183" spans="1:4" x14ac:dyDescent="0.45">
      <c r="A183" t="s">
        <v>387</v>
      </c>
      <c r="B183" t="s">
        <v>29</v>
      </c>
      <c r="C183">
        <v>4.5199999999999996</v>
      </c>
      <c r="D183">
        <v>0</v>
      </c>
    </row>
    <row r="184" spans="1:4" x14ac:dyDescent="0.45">
      <c r="A184" t="s">
        <v>387</v>
      </c>
      <c r="B184" t="s">
        <v>32</v>
      </c>
      <c r="C184">
        <v>1.5720000000000001</v>
      </c>
      <c r="D184">
        <v>0</v>
      </c>
    </row>
    <row r="185" spans="1:4" x14ac:dyDescent="0.45">
      <c r="A185" t="s">
        <v>387</v>
      </c>
      <c r="B185" t="s">
        <v>35</v>
      </c>
      <c r="C185">
        <v>5.54</v>
      </c>
      <c r="D185">
        <v>0</v>
      </c>
    </row>
    <row r="186" spans="1:4" x14ac:dyDescent="0.45">
      <c r="A186" t="s">
        <v>404</v>
      </c>
      <c r="B186" t="s">
        <v>10</v>
      </c>
      <c r="C186">
        <v>1.9139999999999999</v>
      </c>
      <c r="D186">
        <v>0</v>
      </c>
    </row>
    <row r="187" spans="1:4" x14ac:dyDescent="0.45">
      <c r="A187" t="s">
        <v>404</v>
      </c>
      <c r="B187" t="s">
        <v>15</v>
      </c>
      <c r="C187" t="s">
        <v>407</v>
      </c>
      <c r="D187" t="s">
        <v>12</v>
      </c>
    </row>
    <row r="188" spans="1:4" x14ac:dyDescent="0.45">
      <c r="A188" t="s">
        <v>404</v>
      </c>
      <c r="B188" t="s">
        <v>20</v>
      </c>
      <c r="C188" t="s">
        <v>409</v>
      </c>
      <c r="D188" t="s">
        <v>12</v>
      </c>
    </row>
    <row r="189" spans="1:4" x14ac:dyDescent="0.45">
      <c r="A189" t="s">
        <v>404</v>
      </c>
      <c r="B189" t="s">
        <v>23</v>
      </c>
      <c r="C189" t="s">
        <v>411</v>
      </c>
      <c r="D189" t="s">
        <v>12</v>
      </c>
    </row>
    <row r="190" spans="1:4" x14ac:dyDescent="0.45">
      <c r="A190" t="s">
        <v>404</v>
      </c>
      <c r="B190" t="s">
        <v>26</v>
      </c>
      <c r="C190" t="s">
        <v>413</v>
      </c>
      <c r="D190" t="s">
        <v>12</v>
      </c>
    </row>
    <row r="191" spans="1:4" x14ac:dyDescent="0.45">
      <c r="A191" t="s">
        <v>404</v>
      </c>
      <c r="B191" t="s">
        <v>29</v>
      </c>
      <c r="C191" t="s">
        <v>415</v>
      </c>
      <c r="D191" t="s">
        <v>12</v>
      </c>
    </row>
    <row r="192" spans="1:4" x14ac:dyDescent="0.45">
      <c r="A192" t="s">
        <v>404</v>
      </c>
      <c r="B192" t="s">
        <v>32</v>
      </c>
      <c r="C192" t="s">
        <v>12</v>
      </c>
      <c r="D192" t="s">
        <v>417</v>
      </c>
    </row>
    <row r="193" spans="1:4" x14ac:dyDescent="0.45">
      <c r="A193" t="s">
        <v>404</v>
      </c>
      <c r="B193" t="s">
        <v>35</v>
      </c>
      <c r="C193" t="s">
        <v>419</v>
      </c>
      <c r="D193" t="s">
        <v>12</v>
      </c>
    </row>
  </sheetData>
  <autoFilter ref="B1:B195" xr:uid="{3516284C-14EC-41AB-8F18-051597FB054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2371-F03B-4B75-9C44-987C2924358C}">
  <sheetPr filterMode="1"/>
  <dimension ref="A1:D193"/>
  <sheetViews>
    <sheetView topLeftCell="A81" workbookViewId="0">
      <selection activeCell="C9" sqref="C9:D193"/>
    </sheetView>
  </sheetViews>
  <sheetFormatPr defaultRowHeight="14.25" x14ac:dyDescent="0.45"/>
  <cols>
    <col min="2" max="2" width="15.59765625" customWidth="1"/>
  </cols>
  <sheetData>
    <row r="1" spans="1:4" x14ac:dyDescent="0.45">
      <c r="A1" t="s">
        <v>2</v>
      </c>
      <c r="B1" t="s">
        <v>3</v>
      </c>
      <c r="C1" t="s">
        <v>4</v>
      </c>
      <c r="D1" t="s">
        <v>5</v>
      </c>
    </row>
    <row r="2" spans="1:4" hidden="1" x14ac:dyDescent="0.45">
      <c r="A2">
        <v>1</v>
      </c>
      <c r="B2" t="s">
        <v>10</v>
      </c>
      <c r="C2">
        <v>0.71199999999999997</v>
      </c>
      <c r="D2">
        <v>0</v>
      </c>
    </row>
    <row r="3" spans="1:4" hidden="1" x14ac:dyDescent="0.45">
      <c r="A3">
        <v>1</v>
      </c>
      <c r="B3" t="s">
        <v>15</v>
      </c>
      <c r="C3">
        <v>4.7039999999999997</v>
      </c>
      <c r="D3">
        <v>0</v>
      </c>
    </row>
    <row r="4" spans="1:4" hidden="1" x14ac:dyDescent="0.45">
      <c r="A4">
        <v>1</v>
      </c>
      <c r="B4" t="s">
        <v>20</v>
      </c>
      <c r="C4">
        <v>2.74</v>
      </c>
      <c r="D4">
        <v>0</v>
      </c>
    </row>
    <row r="5" spans="1:4" hidden="1" x14ac:dyDescent="0.45">
      <c r="A5">
        <v>1</v>
      </c>
      <c r="B5" t="s">
        <v>23</v>
      </c>
      <c r="C5">
        <v>2.5219999999999998</v>
      </c>
      <c r="D5">
        <v>0</v>
      </c>
    </row>
    <row r="6" spans="1:4" hidden="1" x14ac:dyDescent="0.45">
      <c r="A6">
        <v>1</v>
      </c>
      <c r="B6" t="s">
        <v>26</v>
      </c>
      <c r="C6">
        <v>4.6319999999999997</v>
      </c>
      <c r="D6">
        <v>0</v>
      </c>
    </row>
    <row r="7" spans="1:4" hidden="1" x14ac:dyDescent="0.45">
      <c r="A7">
        <v>1</v>
      </c>
      <c r="B7" t="s">
        <v>29</v>
      </c>
      <c r="C7">
        <v>1.74</v>
      </c>
      <c r="D7">
        <v>0</v>
      </c>
    </row>
    <row r="8" spans="1:4" hidden="1" x14ac:dyDescent="0.45">
      <c r="A8">
        <v>1</v>
      </c>
      <c r="B8" t="s">
        <v>32</v>
      </c>
      <c r="C8">
        <v>0</v>
      </c>
      <c r="D8">
        <v>1.1120000000000001</v>
      </c>
    </row>
    <row r="9" spans="1:4" x14ac:dyDescent="0.45">
      <c r="A9">
        <v>1</v>
      </c>
      <c r="B9" t="s">
        <v>35</v>
      </c>
      <c r="C9">
        <v>2.798</v>
      </c>
      <c r="D9">
        <v>0</v>
      </c>
    </row>
    <row r="10" spans="1:4" hidden="1" x14ac:dyDescent="0.45">
      <c r="A10">
        <v>2</v>
      </c>
      <c r="B10" t="s">
        <v>10</v>
      </c>
      <c r="C10">
        <v>8.5999999999999993E-2</v>
      </c>
      <c r="D10">
        <v>0</v>
      </c>
    </row>
    <row r="11" spans="1:4" hidden="1" x14ac:dyDescent="0.45">
      <c r="A11">
        <v>2</v>
      </c>
      <c r="B11" t="s">
        <v>15</v>
      </c>
      <c r="C11">
        <v>4.2359999999999998</v>
      </c>
      <c r="D11">
        <v>0</v>
      </c>
    </row>
    <row r="12" spans="1:4" hidden="1" x14ac:dyDescent="0.45">
      <c r="A12">
        <v>2</v>
      </c>
      <c r="B12" t="s">
        <v>20</v>
      </c>
      <c r="C12">
        <v>2.15</v>
      </c>
      <c r="D12">
        <v>0</v>
      </c>
    </row>
    <row r="13" spans="1:4" hidden="1" x14ac:dyDescent="0.45">
      <c r="A13">
        <v>2</v>
      </c>
      <c r="B13" t="s">
        <v>23</v>
      </c>
      <c r="C13">
        <v>1.9079999999999999</v>
      </c>
      <c r="D13">
        <v>0</v>
      </c>
    </row>
    <row r="14" spans="1:4" hidden="1" x14ac:dyDescent="0.45">
      <c r="A14">
        <v>2</v>
      </c>
      <c r="B14" t="s">
        <v>26</v>
      </c>
      <c r="C14">
        <v>4.1159999999999997</v>
      </c>
      <c r="D14">
        <v>0</v>
      </c>
    </row>
    <row r="15" spans="1:4" hidden="1" x14ac:dyDescent="0.45">
      <c r="A15">
        <v>2</v>
      </c>
      <c r="B15" t="s">
        <v>29</v>
      </c>
      <c r="C15">
        <v>1.18</v>
      </c>
      <c r="D15">
        <v>0</v>
      </c>
    </row>
    <row r="16" spans="1:4" hidden="1" x14ac:dyDescent="0.45">
      <c r="A16">
        <v>2</v>
      </c>
      <c r="B16" t="s">
        <v>32</v>
      </c>
      <c r="C16">
        <v>0</v>
      </c>
      <c r="D16">
        <v>1.6020000000000001</v>
      </c>
    </row>
    <row r="17" spans="1:4" x14ac:dyDescent="0.45">
      <c r="A17">
        <v>2</v>
      </c>
      <c r="B17" t="s">
        <v>35</v>
      </c>
      <c r="C17">
        <v>2.222</v>
      </c>
      <c r="D17">
        <v>0</v>
      </c>
    </row>
    <row r="18" spans="1:4" hidden="1" x14ac:dyDescent="0.45">
      <c r="A18">
        <v>3</v>
      </c>
      <c r="B18" t="s">
        <v>10</v>
      </c>
      <c r="C18">
        <v>0</v>
      </c>
      <c r="D18">
        <v>0</v>
      </c>
    </row>
    <row r="19" spans="1:4" hidden="1" x14ac:dyDescent="0.45">
      <c r="A19">
        <v>3</v>
      </c>
      <c r="B19" t="s">
        <v>15</v>
      </c>
      <c r="C19">
        <v>4.03</v>
      </c>
      <c r="D19">
        <v>0</v>
      </c>
    </row>
    <row r="20" spans="1:4" hidden="1" x14ac:dyDescent="0.45">
      <c r="A20">
        <v>3</v>
      </c>
      <c r="B20" t="s">
        <v>20</v>
      </c>
      <c r="C20">
        <v>1.92</v>
      </c>
      <c r="D20">
        <v>0</v>
      </c>
    </row>
    <row r="21" spans="1:4" hidden="1" x14ac:dyDescent="0.45">
      <c r="A21">
        <v>3</v>
      </c>
      <c r="B21" t="s">
        <v>23</v>
      </c>
      <c r="C21">
        <v>1.6706399999999999</v>
      </c>
      <c r="D21">
        <v>0</v>
      </c>
    </row>
    <row r="22" spans="1:4" hidden="1" x14ac:dyDescent="0.45">
      <c r="A22">
        <v>3</v>
      </c>
      <c r="B22" t="s">
        <v>26</v>
      </c>
      <c r="C22">
        <v>3.82287</v>
      </c>
      <c r="D22">
        <v>0</v>
      </c>
    </row>
    <row r="23" spans="1:4" hidden="1" x14ac:dyDescent="0.45">
      <c r="A23">
        <v>3</v>
      </c>
      <c r="B23" t="s">
        <v>29</v>
      </c>
      <c r="C23">
        <v>0.98</v>
      </c>
      <c r="D23">
        <v>0</v>
      </c>
    </row>
    <row r="24" spans="1:4" hidden="1" x14ac:dyDescent="0.45">
      <c r="A24">
        <v>3</v>
      </c>
      <c r="B24" t="s">
        <v>32</v>
      </c>
      <c r="C24">
        <v>0</v>
      </c>
      <c r="D24">
        <v>1.68</v>
      </c>
    </row>
    <row r="25" spans="1:4" x14ac:dyDescent="0.45">
      <c r="A25">
        <v>3</v>
      </c>
      <c r="B25" t="s">
        <v>35</v>
      </c>
      <c r="C25">
        <v>2.0193599999999998</v>
      </c>
      <c r="D25">
        <v>0</v>
      </c>
    </row>
    <row r="26" spans="1:4" hidden="1" x14ac:dyDescent="0.45">
      <c r="A26">
        <v>4</v>
      </c>
      <c r="B26" t="s">
        <v>10</v>
      </c>
      <c r="C26">
        <v>0</v>
      </c>
      <c r="D26">
        <v>0</v>
      </c>
    </row>
    <row r="27" spans="1:4" hidden="1" x14ac:dyDescent="0.45">
      <c r="A27">
        <v>4</v>
      </c>
      <c r="B27" t="s">
        <v>15</v>
      </c>
      <c r="C27">
        <v>3.9125100000000002</v>
      </c>
      <c r="D27">
        <v>0</v>
      </c>
    </row>
    <row r="28" spans="1:4" hidden="1" x14ac:dyDescent="0.45">
      <c r="A28">
        <v>4</v>
      </c>
      <c r="B28" t="s">
        <v>20</v>
      </c>
      <c r="C28">
        <v>1.7908500000000001</v>
      </c>
      <c r="D28">
        <v>0</v>
      </c>
    </row>
    <row r="29" spans="1:4" hidden="1" x14ac:dyDescent="0.45">
      <c r="A29">
        <v>4</v>
      </c>
      <c r="B29" t="s">
        <v>23</v>
      </c>
      <c r="C29">
        <v>1.5468900000000001</v>
      </c>
      <c r="D29">
        <v>0</v>
      </c>
    </row>
    <row r="30" spans="1:4" hidden="1" x14ac:dyDescent="0.45">
      <c r="A30">
        <v>4</v>
      </c>
      <c r="B30" t="s">
        <v>26</v>
      </c>
      <c r="C30">
        <v>3.6281300000000001</v>
      </c>
      <c r="D30">
        <v>0</v>
      </c>
    </row>
    <row r="31" spans="1:4" hidden="1" x14ac:dyDescent="0.45">
      <c r="A31">
        <v>4</v>
      </c>
      <c r="B31" t="s">
        <v>29</v>
      </c>
      <c r="C31">
        <v>0.86084799999999995</v>
      </c>
      <c r="D31">
        <v>0</v>
      </c>
    </row>
    <row r="32" spans="1:4" hidden="1" x14ac:dyDescent="0.45">
      <c r="A32">
        <v>4</v>
      </c>
      <c r="B32" t="s">
        <v>32</v>
      </c>
      <c r="C32">
        <v>0</v>
      </c>
      <c r="D32">
        <v>1.6758299999999999</v>
      </c>
    </row>
    <row r="33" spans="1:4" x14ac:dyDescent="0.45">
      <c r="A33">
        <v>4</v>
      </c>
      <c r="B33" t="s">
        <v>35</v>
      </c>
      <c r="C33">
        <v>1.8748100000000001</v>
      </c>
      <c r="D33">
        <v>0</v>
      </c>
    </row>
    <row r="34" spans="1:4" hidden="1" x14ac:dyDescent="0.45">
      <c r="A34">
        <v>5</v>
      </c>
      <c r="B34" t="s">
        <v>10</v>
      </c>
      <c r="C34">
        <v>0.33400000000000002</v>
      </c>
      <c r="D34">
        <v>0</v>
      </c>
    </row>
    <row r="35" spans="1:4" hidden="1" x14ac:dyDescent="0.45">
      <c r="A35">
        <v>5</v>
      </c>
      <c r="B35" t="s">
        <v>15</v>
      </c>
      <c r="C35">
        <v>3.91</v>
      </c>
      <c r="D35">
        <v>0</v>
      </c>
    </row>
    <row r="36" spans="1:4" hidden="1" x14ac:dyDescent="0.45">
      <c r="A36">
        <v>5</v>
      </c>
      <c r="B36" t="s">
        <v>20</v>
      </c>
      <c r="C36">
        <v>1.93</v>
      </c>
      <c r="D36">
        <v>0</v>
      </c>
    </row>
    <row r="37" spans="1:4" hidden="1" x14ac:dyDescent="0.45">
      <c r="A37">
        <v>5</v>
      </c>
      <c r="B37" t="s">
        <v>23</v>
      </c>
      <c r="C37">
        <v>1.758</v>
      </c>
      <c r="D37">
        <v>0</v>
      </c>
    </row>
    <row r="38" spans="1:4" hidden="1" x14ac:dyDescent="0.45">
      <c r="A38">
        <v>5</v>
      </c>
      <c r="B38" t="s">
        <v>26</v>
      </c>
      <c r="C38">
        <v>3.77</v>
      </c>
      <c r="D38">
        <v>0</v>
      </c>
    </row>
    <row r="39" spans="1:4" hidden="1" x14ac:dyDescent="0.45">
      <c r="A39">
        <v>5</v>
      </c>
      <c r="B39" t="s">
        <v>29</v>
      </c>
      <c r="C39">
        <v>0.99</v>
      </c>
      <c r="D39">
        <v>0</v>
      </c>
    </row>
    <row r="40" spans="1:4" hidden="1" x14ac:dyDescent="0.45">
      <c r="A40">
        <v>5</v>
      </c>
      <c r="B40" t="s">
        <v>32</v>
      </c>
      <c r="C40">
        <v>0</v>
      </c>
      <c r="D40">
        <v>1.3440000000000001</v>
      </c>
    </row>
    <row r="41" spans="1:4" x14ac:dyDescent="0.45">
      <c r="A41">
        <v>5</v>
      </c>
      <c r="B41" t="s">
        <v>35</v>
      </c>
      <c r="C41">
        <v>2.0219999999999998</v>
      </c>
      <c r="D41">
        <v>0</v>
      </c>
    </row>
    <row r="42" spans="1:4" hidden="1" x14ac:dyDescent="0.45">
      <c r="A42">
        <v>6</v>
      </c>
      <c r="B42" t="s">
        <v>10</v>
      </c>
      <c r="C42">
        <v>1.65</v>
      </c>
      <c r="D42">
        <v>0</v>
      </c>
    </row>
    <row r="43" spans="1:4" hidden="1" x14ac:dyDescent="0.45">
      <c r="A43">
        <v>6</v>
      </c>
      <c r="B43" t="s">
        <v>15</v>
      </c>
      <c r="C43">
        <v>4.6340000000000003</v>
      </c>
      <c r="D43">
        <v>0</v>
      </c>
    </row>
    <row r="44" spans="1:4" hidden="1" x14ac:dyDescent="0.45">
      <c r="A44">
        <v>6</v>
      </c>
      <c r="B44" t="s">
        <v>20</v>
      </c>
      <c r="C44">
        <v>3.02</v>
      </c>
      <c r="D44">
        <v>0</v>
      </c>
    </row>
    <row r="45" spans="1:4" hidden="1" x14ac:dyDescent="0.45">
      <c r="A45">
        <v>6</v>
      </c>
      <c r="B45" t="s">
        <v>23</v>
      </c>
      <c r="C45">
        <v>2.9279999999999999</v>
      </c>
      <c r="D45">
        <v>0</v>
      </c>
    </row>
    <row r="46" spans="1:4" hidden="1" x14ac:dyDescent="0.45">
      <c r="A46">
        <v>6</v>
      </c>
      <c r="B46" t="s">
        <v>26</v>
      </c>
      <c r="C46">
        <v>4.7160000000000002</v>
      </c>
      <c r="D46">
        <v>0</v>
      </c>
    </row>
    <row r="47" spans="1:4" hidden="1" x14ac:dyDescent="0.45">
      <c r="A47">
        <v>6</v>
      </c>
      <c r="B47" t="s">
        <v>29</v>
      </c>
      <c r="C47">
        <v>2.1</v>
      </c>
      <c r="D47">
        <v>0</v>
      </c>
    </row>
    <row r="48" spans="1:4" hidden="1" x14ac:dyDescent="0.45">
      <c r="A48">
        <v>6</v>
      </c>
      <c r="B48" t="s">
        <v>32</v>
      </c>
      <c r="C48">
        <v>0.14399999999999999</v>
      </c>
      <c r="D48">
        <v>0</v>
      </c>
    </row>
    <row r="49" spans="1:4" x14ac:dyDescent="0.45">
      <c r="A49">
        <v>6</v>
      </c>
      <c r="B49" t="s">
        <v>35</v>
      </c>
      <c r="C49">
        <v>3.0640000000000001</v>
      </c>
      <c r="D49">
        <v>0</v>
      </c>
    </row>
    <row r="50" spans="1:4" hidden="1" x14ac:dyDescent="0.45">
      <c r="A50">
        <v>7</v>
      </c>
      <c r="B50" t="s">
        <v>10</v>
      </c>
      <c r="C50">
        <v>3.6120000000000001</v>
      </c>
      <c r="D50">
        <v>0</v>
      </c>
    </row>
    <row r="51" spans="1:4" hidden="1" x14ac:dyDescent="0.45">
      <c r="A51">
        <v>7</v>
      </c>
      <c r="B51" t="s">
        <v>15</v>
      </c>
      <c r="C51">
        <v>6.0839999999999996</v>
      </c>
      <c r="D51">
        <v>0</v>
      </c>
    </row>
    <row r="52" spans="1:4" hidden="1" x14ac:dyDescent="0.45">
      <c r="A52">
        <v>7</v>
      </c>
      <c r="B52" t="s">
        <v>20</v>
      </c>
      <c r="C52">
        <v>4.8899999999999997</v>
      </c>
      <c r="D52">
        <v>0</v>
      </c>
    </row>
    <row r="53" spans="1:4" hidden="1" x14ac:dyDescent="0.45">
      <c r="A53">
        <v>7</v>
      </c>
      <c r="B53" t="s">
        <v>23</v>
      </c>
      <c r="C53">
        <v>4.8920000000000003</v>
      </c>
      <c r="D53">
        <v>0</v>
      </c>
    </row>
    <row r="54" spans="1:4" hidden="1" x14ac:dyDescent="0.45">
      <c r="A54">
        <v>7</v>
      </c>
      <c r="B54" t="s">
        <v>26</v>
      </c>
      <c r="C54">
        <v>6.3819999999999997</v>
      </c>
      <c r="D54">
        <v>0</v>
      </c>
    </row>
    <row r="55" spans="1:4" hidden="1" x14ac:dyDescent="0.45">
      <c r="A55">
        <v>7</v>
      </c>
      <c r="B55" t="s">
        <v>29</v>
      </c>
      <c r="C55">
        <v>3.9380000000000002</v>
      </c>
      <c r="D55">
        <v>0</v>
      </c>
    </row>
    <row r="56" spans="1:4" hidden="1" x14ac:dyDescent="0.45">
      <c r="A56">
        <v>7</v>
      </c>
      <c r="B56" t="s">
        <v>32</v>
      </c>
      <c r="C56">
        <v>2.1960000000000002</v>
      </c>
      <c r="D56">
        <v>0</v>
      </c>
    </row>
    <row r="57" spans="1:4" x14ac:dyDescent="0.45">
      <c r="A57">
        <v>7</v>
      </c>
      <c r="B57" t="s">
        <v>35</v>
      </c>
      <c r="C57">
        <v>4.6980000000000004</v>
      </c>
      <c r="D57">
        <v>0</v>
      </c>
    </row>
    <row r="58" spans="1:4" hidden="1" x14ac:dyDescent="0.45">
      <c r="A58">
        <v>8</v>
      </c>
      <c r="B58" t="s">
        <v>10</v>
      </c>
      <c r="C58">
        <v>5.7359999999999998</v>
      </c>
      <c r="D58">
        <v>0</v>
      </c>
    </row>
    <row r="59" spans="1:4" hidden="1" x14ac:dyDescent="0.45">
      <c r="A59">
        <v>8</v>
      </c>
      <c r="B59" t="s">
        <v>15</v>
      </c>
      <c r="C59">
        <v>7.7480000000000002</v>
      </c>
      <c r="D59">
        <v>0</v>
      </c>
    </row>
    <row r="60" spans="1:4" hidden="1" x14ac:dyDescent="0.45">
      <c r="A60">
        <v>8</v>
      </c>
      <c r="B60" t="s">
        <v>20</v>
      </c>
      <c r="C60">
        <v>7.08</v>
      </c>
      <c r="D60">
        <v>0</v>
      </c>
    </row>
    <row r="61" spans="1:4" hidden="1" x14ac:dyDescent="0.45">
      <c r="A61">
        <v>8</v>
      </c>
      <c r="B61" t="s">
        <v>23</v>
      </c>
      <c r="C61">
        <v>7.1479999999999997</v>
      </c>
      <c r="D61">
        <v>0</v>
      </c>
    </row>
    <row r="62" spans="1:4" hidden="1" x14ac:dyDescent="0.45">
      <c r="A62">
        <v>8</v>
      </c>
      <c r="B62" t="s">
        <v>26</v>
      </c>
      <c r="C62">
        <v>8.3780000000000001</v>
      </c>
      <c r="D62">
        <v>0</v>
      </c>
    </row>
    <row r="63" spans="1:4" hidden="1" x14ac:dyDescent="0.45">
      <c r="A63">
        <v>8</v>
      </c>
      <c r="B63" t="s">
        <v>29</v>
      </c>
      <c r="C63">
        <v>5.8639999999999999</v>
      </c>
      <c r="D63">
        <v>0</v>
      </c>
    </row>
    <row r="64" spans="1:4" hidden="1" x14ac:dyDescent="0.45">
      <c r="A64">
        <v>8</v>
      </c>
      <c r="B64" t="s">
        <v>32</v>
      </c>
      <c r="C64">
        <v>4.41</v>
      </c>
      <c r="D64">
        <v>0</v>
      </c>
    </row>
    <row r="65" spans="1:4" x14ac:dyDescent="0.45">
      <c r="A65">
        <v>8</v>
      </c>
      <c r="B65" t="s">
        <v>35</v>
      </c>
      <c r="C65">
        <v>6.64</v>
      </c>
      <c r="D65">
        <v>0</v>
      </c>
    </row>
    <row r="66" spans="1:4" hidden="1" x14ac:dyDescent="0.45">
      <c r="A66">
        <v>9</v>
      </c>
      <c r="B66" t="s">
        <v>10</v>
      </c>
      <c r="C66">
        <v>2.5619999999999998</v>
      </c>
      <c r="D66">
        <v>0</v>
      </c>
    </row>
    <row r="67" spans="1:4" hidden="1" x14ac:dyDescent="0.45">
      <c r="A67">
        <v>9</v>
      </c>
      <c r="B67" t="s">
        <v>15</v>
      </c>
      <c r="C67">
        <v>6.6159999999999997</v>
      </c>
      <c r="D67">
        <v>0</v>
      </c>
    </row>
    <row r="68" spans="1:4" hidden="1" x14ac:dyDescent="0.45">
      <c r="A68">
        <v>9</v>
      </c>
      <c r="B68" t="s">
        <v>20</v>
      </c>
      <c r="C68">
        <v>4.0199999999999996</v>
      </c>
      <c r="D68">
        <v>0</v>
      </c>
    </row>
    <row r="69" spans="1:4" hidden="1" x14ac:dyDescent="0.45">
      <c r="A69">
        <v>9</v>
      </c>
      <c r="B69" t="s">
        <v>23</v>
      </c>
      <c r="C69">
        <v>6.06</v>
      </c>
      <c r="D69">
        <v>0</v>
      </c>
    </row>
    <row r="70" spans="1:4" hidden="1" x14ac:dyDescent="0.45">
      <c r="A70">
        <v>9</v>
      </c>
      <c r="B70" t="s">
        <v>26</v>
      </c>
      <c r="C70">
        <v>5.6779999999999999</v>
      </c>
      <c r="D70">
        <v>0</v>
      </c>
    </row>
    <row r="71" spans="1:4" hidden="1" x14ac:dyDescent="0.45">
      <c r="A71">
        <v>9</v>
      </c>
      <c r="B71" t="s">
        <v>29</v>
      </c>
      <c r="C71">
        <v>2.944</v>
      </c>
      <c r="D71">
        <v>0</v>
      </c>
    </row>
    <row r="72" spans="1:4" hidden="1" x14ac:dyDescent="0.45">
      <c r="A72">
        <v>9</v>
      </c>
      <c r="B72" t="s">
        <v>32</v>
      </c>
      <c r="C72">
        <v>4.47</v>
      </c>
      <c r="D72">
        <v>0</v>
      </c>
    </row>
    <row r="73" spans="1:4" x14ac:dyDescent="0.45">
      <c r="A73">
        <v>9</v>
      </c>
      <c r="B73" t="s">
        <v>35</v>
      </c>
      <c r="C73">
        <v>3.528</v>
      </c>
      <c r="D73">
        <v>0</v>
      </c>
    </row>
    <row r="74" spans="1:4" hidden="1" x14ac:dyDescent="0.45">
      <c r="A74">
        <v>10</v>
      </c>
      <c r="B74" t="s">
        <v>10</v>
      </c>
      <c r="C74">
        <v>0</v>
      </c>
      <c r="D74">
        <v>0</v>
      </c>
    </row>
    <row r="75" spans="1:4" hidden="1" x14ac:dyDescent="0.45">
      <c r="A75">
        <v>10</v>
      </c>
      <c r="B75" t="s">
        <v>15</v>
      </c>
      <c r="C75">
        <v>5.5040800000000001</v>
      </c>
      <c r="D75">
        <v>0</v>
      </c>
    </row>
    <row r="76" spans="1:4" hidden="1" x14ac:dyDescent="0.45">
      <c r="A76">
        <v>10</v>
      </c>
      <c r="B76" t="s">
        <v>20</v>
      </c>
      <c r="C76">
        <v>1.7103999999999999</v>
      </c>
      <c r="D76">
        <v>0</v>
      </c>
    </row>
    <row r="77" spans="1:4" hidden="1" x14ac:dyDescent="0.45">
      <c r="A77">
        <v>10</v>
      </c>
      <c r="B77" t="s">
        <v>23</v>
      </c>
      <c r="C77">
        <v>5.2603999999999997</v>
      </c>
      <c r="D77">
        <v>0</v>
      </c>
    </row>
    <row r="78" spans="1:4" hidden="1" x14ac:dyDescent="0.45">
      <c r="A78">
        <v>10</v>
      </c>
      <c r="B78" t="s">
        <v>26</v>
      </c>
      <c r="C78">
        <v>3.3815200000000001</v>
      </c>
      <c r="D78">
        <v>0</v>
      </c>
    </row>
    <row r="79" spans="1:4" hidden="1" x14ac:dyDescent="0.45">
      <c r="A79">
        <v>10</v>
      </c>
      <c r="B79" t="s">
        <v>29</v>
      </c>
      <c r="C79">
        <v>0.49647999999999998</v>
      </c>
      <c r="D79">
        <v>0</v>
      </c>
    </row>
    <row r="80" spans="1:4" hidden="1" x14ac:dyDescent="0.45">
      <c r="A80">
        <v>10</v>
      </c>
      <c r="B80" t="s">
        <v>32</v>
      </c>
      <c r="C80">
        <v>4.60928</v>
      </c>
      <c r="D80">
        <v>0</v>
      </c>
    </row>
    <row r="81" spans="1:4" x14ac:dyDescent="0.45">
      <c r="A81">
        <v>10</v>
      </c>
      <c r="B81" t="s">
        <v>35</v>
      </c>
      <c r="C81">
        <v>1.40784</v>
      </c>
      <c r="D81">
        <v>0</v>
      </c>
    </row>
    <row r="82" spans="1:4" hidden="1" x14ac:dyDescent="0.45">
      <c r="A82">
        <v>11</v>
      </c>
      <c r="B82" t="s">
        <v>10</v>
      </c>
      <c r="C82">
        <v>0</v>
      </c>
      <c r="D82">
        <v>0.39</v>
      </c>
    </row>
    <row r="83" spans="1:4" hidden="1" x14ac:dyDescent="0.45">
      <c r="A83">
        <v>11</v>
      </c>
      <c r="B83" t="s">
        <v>15</v>
      </c>
      <c r="C83">
        <v>5.94</v>
      </c>
      <c r="D83">
        <v>0</v>
      </c>
    </row>
    <row r="84" spans="1:4" hidden="1" x14ac:dyDescent="0.45">
      <c r="A84">
        <v>11</v>
      </c>
      <c r="B84" t="s">
        <v>20</v>
      </c>
      <c r="C84">
        <v>1.5</v>
      </c>
      <c r="D84">
        <v>0</v>
      </c>
    </row>
    <row r="85" spans="1:4" hidden="1" x14ac:dyDescent="0.45">
      <c r="A85">
        <v>11</v>
      </c>
      <c r="B85" t="s">
        <v>23</v>
      </c>
      <c r="C85">
        <v>6.4</v>
      </c>
      <c r="D85">
        <v>0</v>
      </c>
    </row>
    <row r="86" spans="1:4" hidden="1" x14ac:dyDescent="0.45">
      <c r="A86">
        <v>11</v>
      </c>
      <c r="B86" t="s">
        <v>26</v>
      </c>
      <c r="C86">
        <v>2.58</v>
      </c>
      <c r="D86">
        <v>0</v>
      </c>
    </row>
    <row r="87" spans="1:4" hidden="1" x14ac:dyDescent="0.45">
      <c r="A87">
        <v>11</v>
      </c>
      <c r="B87" t="s">
        <v>29</v>
      </c>
      <c r="C87">
        <v>0.24</v>
      </c>
      <c r="D87">
        <v>0</v>
      </c>
    </row>
    <row r="88" spans="1:4" hidden="1" x14ac:dyDescent="0.45">
      <c r="A88">
        <v>11</v>
      </c>
      <c r="B88" t="s">
        <v>32</v>
      </c>
      <c r="C88">
        <v>7.24</v>
      </c>
      <c r="D88">
        <v>0</v>
      </c>
    </row>
    <row r="89" spans="1:4" x14ac:dyDescent="0.45">
      <c r="A89">
        <v>11</v>
      </c>
      <c r="B89" t="s">
        <v>35</v>
      </c>
      <c r="C89">
        <v>2.65</v>
      </c>
      <c r="D89">
        <v>0</v>
      </c>
    </row>
    <row r="90" spans="1:4" hidden="1" x14ac:dyDescent="0.45">
      <c r="A90">
        <v>12</v>
      </c>
      <c r="B90" t="s">
        <v>10</v>
      </c>
      <c r="C90">
        <v>0</v>
      </c>
      <c r="D90">
        <v>3.05</v>
      </c>
    </row>
    <row r="91" spans="1:4" hidden="1" x14ac:dyDescent="0.45">
      <c r="A91">
        <v>12</v>
      </c>
      <c r="B91" t="s">
        <v>15</v>
      </c>
      <c r="C91">
        <v>4.46</v>
      </c>
      <c r="D91">
        <v>0</v>
      </c>
    </row>
    <row r="92" spans="1:4" hidden="1" x14ac:dyDescent="0.45">
      <c r="A92">
        <v>12</v>
      </c>
      <c r="B92" t="s">
        <v>20</v>
      </c>
      <c r="C92">
        <v>0</v>
      </c>
      <c r="D92">
        <v>0.79</v>
      </c>
    </row>
    <row r="93" spans="1:4" hidden="1" x14ac:dyDescent="0.45">
      <c r="A93">
        <v>12</v>
      </c>
      <c r="B93" t="s">
        <v>23</v>
      </c>
      <c r="C93">
        <v>4.9400000000000004</v>
      </c>
      <c r="D93">
        <v>0</v>
      </c>
    </row>
    <row r="94" spans="1:4" hidden="1" x14ac:dyDescent="0.45">
      <c r="A94">
        <v>12</v>
      </c>
      <c r="B94" t="s">
        <v>26</v>
      </c>
      <c r="C94">
        <v>0.49</v>
      </c>
      <c r="D94">
        <v>0</v>
      </c>
    </row>
    <row r="95" spans="1:4" hidden="1" x14ac:dyDescent="0.45">
      <c r="A95">
        <v>12</v>
      </c>
      <c r="B95" t="s">
        <v>29</v>
      </c>
      <c r="C95">
        <v>0</v>
      </c>
      <c r="D95">
        <v>2.3199999999999998</v>
      </c>
    </row>
    <row r="96" spans="1:4" hidden="1" x14ac:dyDescent="0.45">
      <c r="A96">
        <v>12</v>
      </c>
      <c r="B96" t="s">
        <v>32</v>
      </c>
      <c r="C96">
        <v>6.38</v>
      </c>
      <c r="D96">
        <v>0</v>
      </c>
    </row>
    <row r="97" spans="1:4" x14ac:dyDescent="0.45">
      <c r="A97">
        <v>12</v>
      </c>
      <c r="B97" t="s">
        <v>35</v>
      </c>
      <c r="C97">
        <v>2.95</v>
      </c>
      <c r="D97">
        <v>0</v>
      </c>
    </row>
    <row r="98" spans="1:4" hidden="1" x14ac:dyDescent="0.45">
      <c r="A98">
        <v>13</v>
      </c>
      <c r="B98" t="s">
        <v>10</v>
      </c>
      <c r="C98">
        <v>0</v>
      </c>
      <c r="D98">
        <v>4.12</v>
      </c>
    </row>
    <row r="99" spans="1:4" hidden="1" x14ac:dyDescent="0.45">
      <c r="A99">
        <v>13</v>
      </c>
      <c r="B99" t="s">
        <v>15</v>
      </c>
      <c r="C99">
        <v>4.0999999999999996</v>
      </c>
      <c r="D99">
        <v>0</v>
      </c>
    </row>
    <row r="100" spans="1:4" hidden="1" x14ac:dyDescent="0.45">
      <c r="A100">
        <v>13</v>
      </c>
      <c r="B100" t="s">
        <v>20</v>
      </c>
      <c r="C100">
        <v>0</v>
      </c>
      <c r="D100">
        <v>1.57</v>
      </c>
    </row>
    <row r="101" spans="1:4" hidden="1" x14ac:dyDescent="0.45">
      <c r="A101">
        <v>13</v>
      </c>
      <c r="B101" t="s">
        <v>23</v>
      </c>
      <c r="C101">
        <v>4.34</v>
      </c>
      <c r="D101">
        <v>0</v>
      </c>
    </row>
    <row r="102" spans="1:4" hidden="1" x14ac:dyDescent="0.45">
      <c r="A102">
        <v>13</v>
      </c>
      <c r="B102" t="s">
        <v>26</v>
      </c>
      <c r="C102">
        <v>0</v>
      </c>
      <c r="D102">
        <v>0</v>
      </c>
    </row>
    <row r="103" spans="1:4" hidden="1" x14ac:dyDescent="0.45">
      <c r="A103">
        <v>13</v>
      </c>
      <c r="B103" t="s">
        <v>29</v>
      </c>
      <c r="C103">
        <v>0</v>
      </c>
      <c r="D103">
        <v>3.45</v>
      </c>
    </row>
    <row r="104" spans="1:4" hidden="1" x14ac:dyDescent="0.45">
      <c r="A104">
        <v>13</v>
      </c>
      <c r="B104" t="s">
        <v>32</v>
      </c>
      <c r="C104">
        <v>5.95</v>
      </c>
      <c r="D104">
        <v>0</v>
      </c>
    </row>
    <row r="105" spans="1:4" x14ac:dyDescent="0.45">
      <c r="A105">
        <v>13</v>
      </c>
      <c r="B105" t="s">
        <v>35</v>
      </c>
      <c r="C105">
        <v>6.79</v>
      </c>
      <c r="D105">
        <v>0</v>
      </c>
    </row>
    <row r="106" spans="1:4" hidden="1" x14ac:dyDescent="0.45">
      <c r="A106">
        <v>14</v>
      </c>
      <c r="B106" t="s">
        <v>10</v>
      </c>
      <c r="C106">
        <v>0</v>
      </c>
      <c r="D106">
        <v>3.77</v>
      </c>
    </row>
    <row r="107" spans="1:4" hidden="1" x14ac:dyDescent="0.45">
      <c r="A107">
        <v>14</v>
      </c>
      <c r="B107" t="s">
        <v>15</v>
      </c>
      <c r="C107">
        <v>4.6399999999999997</v>
      </c>
      <c r="D107">
        <v>0</v>
      </c>
    </row>
    <row r="108" spans="1:4" hidden="1" x14ac:dyDescent="0.45">
      <c r="A108">
        <v>14</v>
      </c>
      <c r="B108" t="s">
        <v>20</v>
      </c>
      <c r="C108">
        <v>0</v>
      </c>
      <c r="D108">
        <v>1.1499999999999999</v>
      </c>
    </row>
    <row r="109" spans="1:4" hidden="1" x14ac:dyDescent="0.45">
      <c r="A109">
        <v>14</v>
      </c>
      <c r="B109" t="s">
        <v>23</v>
      </c>
      <c r="C109">
        <v>4.8899999999999997</v>
      </c>
      <c r="D109">
        <v>0</v>
      </c>
    </row>
    <row r="110" spans="1:4" hidden="1" x14ac:dyDescent="0.45">
      <c r="A110">
        <v>14</v>
      </c>
      <c r="B110" t="s">
        <v>26</v>
      </c>
      <c r="C110">
        <v>0.66</v>
      </c>
      <c r="D110">
        <v>0</v>
      </c>
    </row>
    <row r="111" spans="1:4" hidden="1" x14ac:dyDescent="0.45">
      <c r="A111">
        <v>14</v>
      </c>
      <c r="B111" t="s">
        <v>29</v>
      </c>
      <c r="C111">
        <v>0</v>
      </c>
      <c r="D111">
        <v>3.23</v>
      </c>
    </row>
    <row r="112" spans="1:4" hidden="1" x14ac:dyDescent="0.45">
      <c r="A112">
        <v>14</v>
      </c>
      <c r="B112" t="s">
        <v>32</v>
      </c>
      <c r="C112">
        <v>6.18</v>
      </c>
      <c r="D112">
        <v>0</v>
      </c>
    </row>
    <row r="113" spans="1:4" x14ac:dyDescent="0.45">
      <c r="A113">
        <v>14</v>
      </c>
      <c r="B113" t="s">
        <v>35</v>
      </c>
      <c r="C113">
        <v>11.13</v>
      </c>
      <c r="D113">
        <v>0</v>
      </c>
    </row>
    <row r="114" spans="1:4" hidden="1" x14ac:dyDescent="0.45">
      <c r="A114">
        <v>15</v>
      </c>
      <c r="B114" t="s">
        <v>10</v>
      </c>
      <c r="C114">
        <v>0</v>
      </c>
      <c r="D114">
        <v>2.84</v>
      </c>
    </row>
    <row r="115" spans="1:4" hidden="1" x14ac:dyDescent="0.45">
      <c r="A115">
        <v>15</v>
      </c>
      <c r="B115" t="s">
        <v>15</v>
      </c>
      <c r="C115">
        <v>5.5259999999999998</v>
      </c>
      <c r="D115">
        <v>0</v>
      </c>
    </row>
    <row r="116" spans="1:4" hidden="1" x14ac:dyDescent="0.45">
      <c r="A116">
        <v>15</v>
      </c>
      <c r="B116" t="s">
        <v>20</v>
      </c>
      <c r="C116">
        <v>0</v>
      </c>
      <c r="D116">
        <v>0</v>
      </c>
    </row>
    <row r="117" spans="1:4" hidden="1" x14ac:dyDescent="0.45">
      <c r="A117">
        <v>15</v>
      </c>
      <c r="B117" t="s">
        <v>23</v>
      </c>
      <c r="C117">
        <v>6.1340000000000003</v>
      </c>
      <c r="D117">
        <v>0</v>
      </c>
    </row>
    <row r="118" spans="1:4" hidden="1" x14ac:dyDescent="0.45">
      <c r="A118">
        <v>15</v>
      </c>
      <c r="B118" t="s">
        <v>26</v>
      </c>
      <c r="C118">
        <v>2.1760000000000002</v>
      </c>
      <c r="D118">
        <v>0</v>
      </c>
    </row>
    <row r="119" spans="1:4" hidden="1" x14ac:dyDescent="0.45">
      <c r="A119">
        <v>15</v>
      </c>
      <c r="B119" t="s">
        <v>29</v>
      </c>
      <c r="C119">
        <v>0</v>
      </c>
      <c r="D119">
        <v>2.3679999999999999</v>
      </c>
    </row>
    <row r="120" spans="1:4" hidden="1" x14ac:dyDescent="0.45">
      <c r="A120">
        <v>15</v>
      </c>
      <c r="B120" t="s">
        <v>32</v>
      </c>
      <c r="C120">
        <v>6.5579999999999998</v>
      </c>
      <c r="D120">
        <v>0</v>
      </c>
    </row>
    <row r="121" spans="1:4" x14ac:dyDescent="0.45">
      <c r="A121">
        <v>15</v>
      </c>
      <c r="B121" t="s">
        <v>35</v>
      </c>
      <c r="C121">
        <v>11.646000000000001</v>
      </c>
      <c r="D121">
        <v>0</v>
      </c>
    </row>
    <row r="122" spans="1:4" hidden="1" x14ac:dyDescent="0.45">
      <c r="A122">
        <v>16</v>
      </c>
      <c r="B122" t="s">
        <v>10</v>
      </c>
      <c r="C122">
        <v>0</v>
      </c>
      <c r="D122">
        <v>2.718</v>
      </c>
    </row>
    <row r="123" spans="1:4" hidden="1" x14ac:dyDescent="0.45">
      <c r="A123">
        <v>16</v>
      </c>
      <c r="B123" t="s">
        <v>15</v>
      </c>
      <c r="C123">
        <v>5.8239999999999998</v>
      </c>
      <c r="D123">
        <v>0</v>
      </c>
    </row>
    <row r="124" spans="1:4" hidden="1" x14ac:dyDescent="0.45">
      <c r="A124">
        <v>16</v>
      </c>
      <c r="B124" t="s">
        <v>20</v>
      </c>
      <c r="C124">
        <v>0.43</v>
      </c>
      <c r="D124">
        <v>0</v>
      </c>
    </row>
    <row r="125" spans="1:4" hidden="1" x14ac:dyDescent="0.45">
      <c r="A125">
        <v>16</v>
      </c>
      <c r="B125" t="s">
        <v>23</v>
      </c>
      <c r="C125">
        <v>5.9080000000000004</v>
      </c>
      <c r="D125">
        <v>0</v>
      </c>
    </row>
    <row r="126" spans="1:4" hidden="1" x14ac:dyDescent="0.45">
      <c r="A126">
        <v>16</v>
      </c>
      <c r="B126" t="s">
        <v>26</v>
      </c>
      <c r="C126">
        <v>3.226</v>
      </c>
      <c r="D126">
        <v>0</v>
      </c>
    </row>
    <row r="127" spans="1:4" hidden="1" x14ac:dyDescent="0.45">
      <c r="A127">
        <v>16</v>
      </c>
      <c r="B127" t="s">
        <v>29</v>
      </c>
      <c r="C127">
        <v>0</v>
      </c>
      <c r="D127">
        <v>2.4079999999999999</v>
      </c>
    </row>
    <row r="128" spans="1:4" hidden="1" x14ac:dyDescent="0.45">
      <c r="A128">
        <v>16</v>
      </c>
      <c r="B128" t="s">
        <v>32</v>
      </c>
      <c r="C128">
        <v>4.5620000000000003</v>
      </c>
      <c r="D128">
        <v>0</v>
      </c>
    </row>
    <row r="129" spans="1:4" x14ac:dyDescent="0.45">
      <c r="A129">
        <v>16</v>
      </c>
      <c r="B129" t="s">
        <v>35</v>
      </c>
      <c r="C129">
        <v>7.3739999999999997</v>
      </c>
      <c r="D129">
        <v>0</v>
      </c>
    </row>
    <row r="130" spans="1:4" hidden="1" x14ac:dyDescent="0.45">
      <c r="A130">
        <v>17</v>
      </c>
      <c r="B130" t="s">
        <v>10</v>
      </c>
      <c r="C130">
        <v>0.68799999999999994</v>
      </c>
      <c r="D130">
        <v>0</v>
      </c>
    </row>
    <row r="131" spans="1:4" hidden="1" x14ac:dyDescent="0.45">
      <c r="A131">
        <v>17</v>
      </c>
      <c r="B131" t="s">
        <v>15</v>
      </c>
      <c r="C131">
        <v>8.26</v>
      </c>
      <c r="D131">
        <v>0</v>
      </c>
    </row>
    <row r="132" spans="1:4" hidden="1" x14ac:dyDescent="0.45">
      <c r="A132">
        <v>17</v>
      </c>
      <c r="B132" t="s">
        <v>20</v>
      </c>
      <c r="C132">
        <v>4.25</v>
      </c>
      <c r="D132">
        <v>0</v>
      </c>
    </row>
    <row r="133" spans="1:4" hidden="1" x14ac:dyDescent="0.45">
      <c r="A133">
        <v>17</v>
      </c>
      <c r="B133" t="s">
        <v>23</v>
      </c>
      <c r="C133">
        <v>8.5500000000000007</v>
      </c>
      <c r="D133">
        <v>0</v>
      </c>
    </row>
    <row r="134" spans="1:4" hidden="1" x14ac:dyDescent="0.45">
      <c r="A134">
        <v>17</v>
      </c>
      <c r="B134" t="s">
        <v>26</v>
      </c>
      <c r="C134">
        <v>7</v>
      </c>
      <c r="D134">
        <v>0</v>
      </c>
    </row>
    <row r="135" spans="1:4" hidden="1" x14ac:dyDescent="0.45">
      <c r="A135">
        <v>17</v>
      </c>
      <c r="B135" t="s">
        <v>29</v>
      </c>
      <c r="C135">
        <v>0.83</v>
      </c>
      <c r="D135">
        <v>0</v>
      </c>
    </row>
    <row r="136" spans="1:4" hidden="1" x14ac:dyDescent="0.45">
      <c r="A136">
        <v>17</v>
      </c>
      <c r="B136" t="s">
        <v>32</v>
      </c>
      <c r="C136">
        <v>5.83</v>
      </c>
      <c r="D136">
        <v>0</v>
      </c>
    </row>
    <row r="137" spans="1:4" x14ac:dyDescent="0.45">
      <c r="A137">
        <v>17</v>
      </c>
      <c r="B137" t="s">
        <v>35</v>
      </c>
      <c r="C137">
        <v>6.77</v>
      </c>
      <c r="D137">
        <v>0</v>
      </c>
    </row>
    <row r="138" spans="1:4" hidden="1" x14ac:dyDescent="0.45">
      <c r="A138">
        <v>18</v>
      </c>
      <c r="B138" t="s">
        <v>10</v>
      </c>
      <c r="C138">
        <v>4.992</v>
      </c>
      <c r="D138">
        <v>0</v>
      </c>
    </row>
    <row r="139" spans="1:4" hidden="1" x14ac:dyDescent="0.45">
      <c r="A139">
        <v>18</v>
      </c>
      <c r="B139" t="s">
        <v>15</v>
      </c>
      <c r="C139">
        <v>10.885999999999999</v>
      </c>
      <c r="D139">
        <v>0</v>
      </c>
    </row>
    <row r="140" spans="1:4" hidden="1" x14ac:dyDescent="0.45">
      <c r="A140">
        <v>18</v>
      </c>
      <c r="B140" t="s">
        <v>20</v>
      </c>
      <c r="C140">
        <v>8.6300000000000008</v>
      </c>
      <c r="D140">
        <v>0</v>
      </c>
    </row>
    <row r="141" spans="1:4" hidden="1" x14ac:dyDescent="0.45">
      <c r="A141">
        <v>18</v>
      </c>
      <c r="B141" t="s">
        <v>23</v>
      </c>
      <c r="C141">
        <v>11.214</v>
      </c>
      <c r="D141">
        <v>0</v>
      </c>
    </row>
    <row r="142" spans="1:4" hidden="1" x14ac:dyDescent="0.45">
      <c r="A142">
        <v>18</v>
      </c>
      <c r="B142" t="s">
        <v>26</v>
      </c>
      <c r="C142">
        <v>11.1</v>
      </c>
      <c r="D142">
        <v>0</v>
      </c>
    </row>
    <row r="143" spans="1:4" hidden="1" x14ac:dyDescent="0.45">
      <c r="A143">
        <v>18</v>
      </c>
      <c r="B143" t="s">
        <v>29</v>
      </c>
      <c r="C143">
        <v>4.8520000000000003</v>
      </c>
      <c r="D143">
        <v>0</v>
      </c>
    </row>
    <row r="144" spans="1:4" hidden="1" x14ac:dyDescent="0.45">
      <c r="A144">
        <v>18</v>
      </c>
      <c r="B144" t="s">
        <v>32</v>
      </c>
      <c r="C144">
        <v>7.1840000000000002</v>
      </c>
      <c r="D144">
        <v>0</v>
      </c>
    </row>
    <row r="145" spans="1:4" x14ac:dyDescent="0.45">
      <c r="A145">
        <v>18</v>
      </c>
      <c r="B145" t="s">
        <v>35</v>
      </c>
      <c r="C145">
        <v>6.89</v>
      </c>
      <c r="D145">
        <v>0</v>
      </c>
    </row>
    <row r="146" spans="1:4" hidden="1" x14ac:dyDescent="0.45">
      <c r="A146">
        <v>19</v>
      </c>
      <c r="B146" t="s">
        <v>10</v>
      </c>
      <c r="C146">
        <v>7.9480000000000004</v>
      </c>
      <c r="D146">
        <v>0</v>
      </c>
    </row>
    <row r="147" spans="1:4" hidden="1" x14ac:dyDescent="0.45">
      <c r="A147">
        <v>19</v>
      </c>
      <c r="B147" t="s">
        <v>15</v>
      </c>
      <c r="C147">
        <v>12.348000000000001</v>
      </c>
      <c r="D147">
        <v>0</v>
      </c>
    </row>
    <row r="148" spans="1:4" hidden="1" x14ac:dyDescent="0.45">
      <c r="A148">
        <v>19</v>
      </c>
      <c r="B148" t="s">
        <v>20</v>
      </c>
      <c r="C148">
        <v>11.49</v>
      </c>
      <c r="D148">
        <v>0</v>
      </c>
    </row>
    <row r="149" spans="1:4" hidden="1" x14ac:dyDescent="0.45">
      <c r="A149">
        <v>19</v>
      </c>
      <c r="B149" t="s">
        <v>23</v>
      </c>
      <c r="C149">
        <v>12.374000000000001</v>
      </c>
      <c r="D149">
        <v>0</v>
      </c>
    </row>
    <row r="150" spans="1:4" hidden="1" x14ac:dyDescent="0.45">
      <c r="A150">
        <v>19</v>
      </c>
      <c r="B150" t="s">
        <v>26</v>
      </c>
      <c r="C150">
        <v>13.582000000000001</v>
      </c>
      <c r="D150">
        <v>0</v>
      </c>
    </row>
    <row r="151" spans="1:4" hidden="1" x14ac:dyDescent="0.45">
      <c r="A151">
        <v>19</v>
      </c>
      <c r="B151" t="s">
        <v>29</v>
      </c>
      <c r="C151">
        <v>7.8440000000000003</v>
      </c>
      <c r="D151">
        <v>0</v>
      </c>
    </row>
    <row r="152" spans="1:4" hidden="1" x14ac:dyDescent="0.45">
      <c r="A152">
        <v>19</v>
      </c>
      <c r="B152" t="s">
        <v>32</v>
      </c>
      <c r="C152">
        <v>7.4960000000000004</v>
      </c>
      <c r="D152">
        <v>0</v>
      </c>
    </row>
    <row r="153" spans="1:4" x14ac:dyDescent="0.45">
      <c r="A153">
        <v>19</v>
      </c>
      <c r="B153" t="s">
        <v>35</v>
      </c>
      <c r="C153">
        <v>7.718</v>
      </c>
      <c r="D153">
        <v>0</v>
      </c>
    </row>
    <row r="154" spans="1:4" hidden="1" x14ac:dyDescent="0.45">
      <c r="A154">
        <v>20</v>
      </c>
      <c r="B154" t="s">
        <v>10</v>
      </c>
      <c r="C154">
        <v>9.0839999999999996</v>
      </c>
      <c r="D154">
        <v>0</v>
      </c>
    </row>
    <row r="155" spans="1:4" hidden="1" x14ac:dyDescent="0.45">
      <c r="A155">
        <v>20</v>
      </c>
      <c r="B155" t="s">
        <v>15</v>
      </c>
      <c r="C155">
        <v>12.596</v>
      </c>
      <c r="D155">
        <v>0</v>
      </c>
    </row>
    <row r="156" spans="1:4" hidden="1" x14ac:dyDescent="0.45">
      <c r="A156">
        <v>20</v>
      </c>
      <c r="B156" t="s">
        <v>20</v>
      </c>
      <c r="C156">
        <v>12.38</v>
      </c>
      <c r="D156">
        <v>0</v>
      </c>
    </row>
    <row r="157" spans="1:4" hidden="1" x14ac:dyDescent="0.45">
      <c r="A157">
        <v>20</v>
      </c>
      <c r="B157" t="s">
        <v>23</v>
      </c>
      <c r="C157">
        <v>12.007999999999999</v>
      </c>
      <c r="D157">
        <v>0</v>
      </c>
    </row>
    <row r="158" spans="1:4" hidden="1" x14ac:dyDescent="0.45">
      <c r="A158">
        <v>20</v>
      </c>
      <c r="B158" t="s">
        <v>26</v>
      </c>
      <c r="C158">
        <v>14.096</v>
      </c>
      <c r="D158">
        <v>0</v>
      </c>
    </row>
    <row r="159" spans="1:4" hidden="1" x14ac:dyDescent="0.45">
      <c r="A159">
        <v>20</v>
      </c>
      <c r="B159" t="s">
        <v>29</v>
      </c>
      <c r="C159">
        <v>9.1760000000000002</v>
      </c>
      <c r="D159">
        <v>0</v>
      </c>
    </row>
    <row r="160" spans="1:4" hidden="1" x14ac:dyDescent="0.45">
      <c r="A160">
        <v>20</v>
      </c>
      <c r="B160" t="s">
        <v>32</v>
      </c>
      <c r="C160">
        <v>6.94</v>
      </c>
      <c r="D160">
        <v>0</v>
      </c>
    </row>
    <row r="161" spans="1:4" x14ac:dyDescent="0.45">
      <c r="A161">
        <v>20</v>
      </c>
      <c r="B161" t="s">
        <v>35</v>
      </c>
      <c r="C161">
        <v>8.9740000000000002</v>
      </c>
      <c r="D161">
        <v>0</v>
      </c>
    </row>
    <row r="162" spans="1:4" hidden="1" x14ac:dyDescent="0.45">
      <c r="A162">
        <v>21</v>
      </c>
      <c r="B162" t="s">
        <v>10</v>
      </c>
      <c r="C162">
        <v>7.298</v>
      </c>
      <c r="D162">
        <v>0</v>
      </c>
    </row>
    <row r="163" spans="1:4" hidden="1" x14ac:dyDescent="0.45">
      <c r="A163">
        <v>21</v>
      </c>
      <c r="B163" t="s">
        <v>15</v>
      </c>
      <c r="C163">
        <v>11.256</v>
      </c>
      <c r="D163">
        <v>0</v>
      </c>
    </row>
    <row r="164" spans="1:4" hidden="1" x14ac:dyDescent="0.45">
      <c r="A164">
        <v>21</v>
      </c>
      <c r="B164" t="s">
        <v>20</v>
      </c>
      <c r="C164">
        <v>10.31</v>
      </c>
      <c r="D164">
        <v>0</v>
      </c>
    </row>
    <row r="165" spans="1:4" hidden="1" x14ac:dyDescent="0.45">
      <c r="A165">
        <v>21</v>
      </c>
      <c r="B165" t="s">
        <v>23</v>
      </c>
      <c r="C165">
        <v>9.9979999999999993</v>
      </c>
      <c r="D165">
        <v>0</v>
      </c>
    </row>
    <row r="166" spans="1:4" hidden="1" x14ac:dyDescent="0.45">
      <c r="A166">
        <v>21</v>
      </c>
      <c r="B166" t="s">
        <v>26</v>
      </c>
      <c r="C166">
        <v>12.108000000000001</v>
      </c>
      <c r="D166">
        <v>0</v>
      </c>
    </row>
    <row r="167" spans="1:4" hidden="1" x14ac:dyDescent="0.45">
      <c r="A167">
        <v>21</v>
      </c>
      <c r="B167" t="s">
        <v>29</v>
      </c>
      <c r="C167">
        <v>7.8380000000000001</v>
      </c>
      <c r="D167">
        <v>0</v>
      </c>
    </row>
    <row r="168" spans="1:4" hidden="1" x14ac:dyDescent="0.45">
      <c r="A168">
        <v>21</v>
      </c>
      <c r="B168" t="s">
        <v>32</v>
      </c>
      <c r="C168">
        <v>5.28</v>
      </c>
      <c r="D168">
        <v>0</v>
      </c>
    </row>
    <row r="169" spans="1:4" x14ac:dyDescent="0.45">
      <c r="A169">
        <v>21</v>
      </c>
      <c r="B169" t="s">
        <v>35</v>
      </c>
      <c r="C169">
        <v>8.0640000000000001</v>
      </c>
      <c r="D169">
        <v>0</v>
      </c>
    </row>
    <row r="170" spans="1:4" hidden="1" x14ac:dyDescent="0.45">
      <c r="A170">
        <v>22</v>
      </c>
      <c r="B170" t="s">
        <v>10</v>
      </c>
      <c r="C170">
        <v>5.2960000000000003</v>
      </c>
      <c r="D170">
        <v>0</v>
      </c>
    </row>
    <row r="171" spans="1:4" hidden="1" x14ac:dyDescent="0.45">
      <c r="A171">
        <v>22</v>
      </c>
      <c r="B171" t="s">
        <v>15</v>
      </c>
      <c r="C171">
        <v>9.5039999999999996</v>
      </c>
      <c r="D171">
        <v>0</v>
      </c>
    </row>
    <row r="172" spans="1:4" hidden="1" x14ac:dyDescent="0.45">
      <c r="A172">
        <v>22</v>
      </c>
      <c r="B172" t="s">
        <v>20</v>
      </c>
      <c r="C172">
        <v>8.11</v>
      </c>
      <c r="D172">
        <v>0</v>
      </c>
    </row>
    <row r="173" spans="1:4" hidden="1" x14ac:dyDescent="0.45">
      <c r="A173">
        <v>22</v>
      </c>
      <c r="B173" t="s">
        <v>23</v>
      </c>
      <c r="C173">
        <v>7.8860000000000001</v>
      </c>
      <c r="D173">
        <v>0</v>
      </c>
    </row>
    <row r="174" spans="1:4" hidden="1" x14ac:dyDescent="0.45">
      <c r="A174">
        <v>22</v>
      </c>
      <c r="B174" t="s">
        <v>26</v>
      </c>
      <c r="C174">
        <v>10.102</v>
      </c>
      <c r="D174">
        <v>0</v>
      </c>
    </row>
    <row r="175" spans="1:4" hidden="1" x14ac:dyDescent="0.45">
      <c r="A175">
        <v>22</v>
      </c>
      <c r="B175" t="s">
        <v>29</v>
      </c>
      <c r="C175">
        <v>6.194</v>
      </c>
      <c r="D175">
        <v>0</v>
      </c>
    </row>
    <row r="176" spans="1:4" hidden="1" x14ac:dyDescent="0.45">
      <c r="A176">
        <v>22</v>
      </c>
      <c r="B176" t="s">
        <v>32</v>
      </c>
      <c r="C176">
        <v>3.3479999999999999</v>
      </c>
      <c r="D176">
        <v>0</v>
      </c>
    </row>
    <row r="177" spans="1:4" x14ac:dyDescent="0.45">
      <c r="A177">
        <v>22</v>
      </c>
      <c r="B177" t="s">
        <v>35</v>
      </c>
      <c r="C177">
        <v>6.81</v>
      </c>
      <c r="D177">
        <v>0</v>
      </c>
    </row>
    <row r="178" spans="1:4" hidden="1" x14ac:dyDescent="0.45">
      <c r="A178">
        <v>23</v>
      </c>
      <c r="B178" t="s">
        <v>10</v>
      </c>
      <c r="C178">
        <v>3.5139999999999998</v>
      </c>
      <c r="D178">
        <v>0</v>
      </c>
    </row>
    <row r="179" spans="1:4" hidden="1" x14ac:dyDescent="0.45">
      <c r="A179">
        <v>23</v>
      </c>
      <c r="B179" t="s">
        <v>15</v>
      </c>
      <c r="C179">
        <v>7.72</v>
      </c>
      <c r="D179">
        <v>0</v>
      </c>
    </row>
    <row r="180" spans="1:4" hidden="1" x14ac:dyDescent="0.45">
      <c r="A180">
        <v>23</v>
      </c>
      <c r="B180" t="s">
        <v>20</v>
      </c>
      <c r="C180">
        <v>6.01</v>
      </c>
      <c r="D180">
        <v>0</v>
      </c>
    </row>
    <row r="181" spans="1:4" hidden="1" x14ac:dyDescent="0.45">
      <c r="A181">
        <v>23</v>
      </c>
      <c r="B181" t="s">
        <v>23</v>
      </c>
      <c r="C181">
        <v>5.8079999999999998</v>
      </c>
      <c r="D181">
        <v>0</v>
      </c>
    </row>
    <row r="182" spans="1:4" hidden="1" x14ac:dyDescent="0.45">
      <c r="A182">
        <v>23</v>
      </c>
      <c r="B182" t="s">
        <v>26</v>
      </c>
      <c r="C182">
        <v>8.0039999999999996</v>
      </c>
      <c r="D182">
        <v>0</v>
      </c>
    </row>
    <row r="183" spans="1:4" hidden="1" x14ac:dyDescent="0.45">
      <c r="A183">
        <v>23</v>
      </c>
      <c r="B183" t="s">
        <v>29</v>
      </c>
      <c r="C183">
        <v>4.5199999999999996</v>
      </c>
      <c r="D183">
        <v>0</v>
      </c>
    </row>
    <row r="184" spans="1:4" hidden="1" x14ac:dyDescent="0.45">
      <c r="A184">
        <v>23</v>
      </c>
      <c r="B184" t="s">
        <v>32</v>
      </c>
      <c r="C184">
        <v>1.5720000000000001</v>
      </c>
      <c r="D184">
        <v>0</v>
      </c>
    </row>
    <row r="185" spans="1:4" x14ac:dyDescent="0.45">
      <c r="A185">
        <v>23</v>
      </c>
      <c r="B185" t="s">
        <v>35</v>
      </c>
      <c r="C185">
        <v>5.54</v>
      </c>
      <c r="D185">
        <v>0</v>
      </c>
    </row>
    <row r="186" spans="1:4" hidden="1" x14ac:dyDescent="0.45">
      <c r="A186">
        <v>24</v>
      </c>
      <c r="B186" t="s">
        <v>10</v>
      </c>
      <c r="C186">
        <v>1.9139999999999999</v>
      </c>
      <c r="D186">
        <v>0</v>
      </c>
    </row>
    <row r="187" spans="1:4" hidden="1" x14ac:dyDescent="0.45">
      <c r="A187">
        <v>24</v>
      </c>
      <c r="B187" t="s">
        <v>15</v>
      </c>
      <c r="C187">
        <v>6.02</v>
      </c>
      <c r="D187">
        <v>0</v>
      </c>
    </row>
    <row r="188" spans="1:4" hidden="1" x14ac:dyDescent="0.45">
      <c r="A188">
        <v>24</v>
      </c>
      <c r="B188" t="s">
        <v>20</v>
      </c>
      <c r="C188">
        <v>4.09</v>
      </c>
      <c r="D188">
        <v>0</v>
      </c>
    </row>
    <row r="189" spans="1:4" hidden="1" x14ac:dyDescent="0.45">
      <c r="A189">
        <v>24</v>
      </c>
      <c r="B189" t="s">
        <v>23</v>
      </c>
      <c r="C189">
        <v>3.8679999999999999</v>
      </c>
      <c r="D189">
        <v>0</v>
      </c>
    </row>
    <row r="190" spans="1:4" hidden="1" x14ac:dyDescent="0.45">
      <c r="A190">
        <v>24</v>
      </c>
      <c r="B190" t="s">
        <v>26</v>
      </c>
      <c r="C190">
        <v>6.0439999999999996</v>
      </c>
      <c r="D190">
        <v>0</v>
      </c>
    </row>
    <row r="191" spans="1:4" hidden="1" x14ac:dyDescent="0.45">
      <c r="A191">
        <v>24</v>
      </c>
      <c r="B191" t="s">
        <v>29</v>
      </c>
      <c r="C191">
        <v>2.92</v>
      </c>
      <c r="D191">
        <v>0</v>
      </c>
    </row>
    <row r="192" spans="1:4" hidden="1" x14ac:dyDescent="0.45">
      <c r="A192">
        <v>24</v>
      </c>
      <c r="B192" t="s">
        <v>32</v>
      </c>
      <c r="C192">
        <v>0</v>
      </c>
      <c r="D192">
        <v>8.0000000000000002E-3</v>
      </c>
    </row>
    <row r="193" spans="1:4" x14ac:dyDescent="0.45">
      <c r="A193">
        <v>24</v>
      </c>
      <c r="B193" t="s">
        <v>35</v>
      </c>
      <c r="C193">
        <v>3.9159999999999999</v>
      </c>
      <c r="D193">
        <v>0</v>
      </c>
    </row>
  </sheetData>
  <autoFilter ref="B1:B193" xr:uid="{FE8F2371-F03B-4B75-9C44-987C2924358C}">
    <filterColumn colId="0">
      <filters>
        <filter val="Storm_PM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9459-63EF-4C08-AEB7-F3577C753D22}">
  <dimension ref="A1:AF25"/>
  <sheetViews>
    <sheetView topLeftCell="O7" workbookViewId="0">
      <selection activeCell="AF2" sqref="AF2:AF25"/>
    </sheetView>
  </sheetViews>
  <sheetFormatPr defaultRowHeight="14.25" x14ac:dyDescent="0.45"/>
  <cols>
    <col min="2" max="2" width="9.06640625" style="20"/>
    <col min="6" max="6" width="9.06640625" style="20"/>
    <col min="10" max="10" width="9.06640625" style="20"/>
    <col min="14" max="14" width="9.06640625" style="20"/>
    <col min="18" max="18" width="9.06640625" style="20"/>
    <col min="22" max="22" width="9.06640625" style="20"/>
    <col min="26" max="26" width="9.06640625" style="20"/>
    <col min="30" max="30" width="9.06640625" style="20"/>
  </cols>
  <sheetData>
    <row r="1" spans="1:32" x14ac:dyDescent="0.45">
      <c r="A1" s="21" t="s">
        <v>469</v>
      </c>
      <c r="E1" s="21" t="s">
        <v>479</v>
      </c>
      <c r="I1" s="21" t="s">
        <v>471</v>
      </c>
      <c r="M1" s="21" t="s">
        <v>475</v>
      </c>
      <c r="Q1" s="21" t="s">
        <v>474</v>
      </c>
      <c r="U1" s="21" t="s">
        <v>477</v>
      </c>
      <c r="Y1" s="21" t="s">
        <v>478</v>
      </c>
      <c r="AC1" s="21" t="s">
        <v>476</v>
      </c>
    </row>
    <row r="2" spans="1:32" x14ac:dyDescent="0.45">
      <c r="A2" s="14" t="s">
        <v>445</v>
      </c>
      <c r="B2" s="20" t="str" cm="1">
        <f t="array" ref="B2:D2">_xlfn.TEXTSPLIT(A2," ")</f>
        <v>1</v>
      </c>
      <c r="C2" t="str">
        <v>0</v>
      </c>
      <c r="D2" t="str">
        <v>14</v>
      </c>
      <c r="E2" s="14" t="s">
        <v>481</v>
      </c>
      <c r="F2" s="20" t="str" cm="1">
        <f t="array" ref="F2:H2">_xlfn.TEXTSPLIT(E2," ")</f>
        <v>1</v>
      </c>
      <c r="G2" t="str">
        <v>0</v>
      </c>
      <c r="H2" t="str">
        <v>0</v>
      </c>
      <c r="I2" s="14" t="s">
        <v>445</v>
      </c>
      <c r="J2" s="20" t="str" cm="1">
        <f t="array" ref="J2:L2">_xlfn.TEXTSPLIT(I2," ")</f>
        <v>1</v>
      </c>
      <c r="K2" t="str">
        <v>0</v>
      </c>
      <c r="L2" t="str">
        <v>14</v>
      </c>
      <c r="M2" s="14" t="s">
        <v>445</v>
      </c>
      <c r="N2" s="20" t="str" cm="1">
        <f t="array" ref="N2:P2">_xlfn.TEXTSPLIT(M2," ")</f>
        <v>1</v>
      </c>
      <c r="O2" t="str">
        <v>0</v>
      </c>
      <c r="P2" t="str">
        <v>14</v>
      </c>
      <c r="Q2" s="14" t="s">
        <v>481</v>
      </c>
      <c r="R2" s="20" t="str" cm="1">
        <f t="array" ref="R2:T2">_xlfn.TEXTSPLIT(Q2," ")</f>
        <v>1</v>
      </c>
      <c r="S2" t="str">
        <v>0</v>
      </c>
      <c r="T2" t="str">
        <v>0</v>
      </c>
      <c r="U2" s="14" t="s">
        <v>445</v>
      </c>
      <c r="V2" s="20" t="str" cm="1">
        <f t="array" ref="V2:X2">_xlfn.TEXTSPLIT(U2," ")</f>
        <v>1</v>
      </c>
      <c r="W2" t="str">
        <v>0</v>
      </c>
      <c r="X2" t="str">
        <v>14</v>
      </c>
      <c r="Y2" s="14" t="s">
        <v>521</v>
      </c>
      <c r="Z2" s="20" t="str" cm="1">
        <f t="array" ref="Z2:AB2">_xlfn.TEXTSPLIT(Y2," ")</f>
        <v>1</v>
      </c>
      <c r="AA2" t="str">
        <v>0</v>
      </c>
      <c r="AB2" t="str">
        <v>12.2571</v>
      </c>
      <c r="AC2" s="14" t="s">
        <v>445</v>
      </c>
      <c r="AD2" s="20" t="str" cm="1">
        <f t="array" ref="AD2:AF2">_xlfn.TEXTSPLIT(AC2," ")</f>
        <v>1</v>
      </c>
      <c r="AE2" t="str">
        <v>0</v>
      </c>
      <c r="AF2" t="str">
        <v>14</v>
      </c>
    </row>
    <row r="3" spans="1:32" x14ac:dyDescent="0.45">
      <c r="A3" s="14" t="s">
        <v>446</v>
      </c>
      <c r="B3" s="20" t="str" cm="1">
        <f t="array" ref="B3:D3">_xlfn.TEXTSPLIT(A3," ")</f>
        <v>2</v>
      </c>
      <c r="C3" t="str">
        <v>0</v>
      </c>
      <c r="D3" t="str">
        <v>14</v>
      </c>
      <c r="E3" s="14" t="s">
        <v>482</v>
      </c>
      <c r="F3" s="20" t="str" cm="1">
        <f t="array" ref="F3:H3">_xlfn.TEXTSPLIT(E3," ")</f>
        <v>2</v>
      </c>
      <c r="G3" t="str">
        <v>0</v>
      </c>
      <c r="H3" t="str">
        <v>0</v>
      </c>
      <c r="I3" s="14" t="s">
        <v>446</v>
      </c>
      <c r="J3" s="20" t="str" cm="1">
        <f t="array" ref="J3:L3">_xlfn.TEXTSPLIT(I3," ")</f>
        <v>2</v>
      </c>
      <c r="K3" t="str">
        <v>0</v>
      </c>
      <c r="L3" t="str">
        <v>14</v>
      </c>
      <c r="M3" s="14" t="s">
        <v>446</v>
      </c>
      <c r="N3" s="20" t="str" cm="1">
        <f t="array" ref="N3:P3">_xlfn.TEXTSPLIT(M3," ")</f>
        <v>2</v>
      </c>
      <c r="O3" t="str">
        <v>0</v>
      </c>
      <c r="P3" t="str">
        <v>14</v>
      </c>
      <c r="Q3" s="14" t="s">
        <v>482</v>
      </c>
      <c r="R3" s="20" t="str" cm="1">
        <f t="array" ref="R3:T3">_xlfn.TEXTSPLIT(Q3," ")</f>
        <v>2</v>
      </c>
      <c r="S3" t="str">
        <v>0</v>
      </c>
      <c r="T3" t="str">
        <v>0</v>
      </c>
      <c r="U3" s="14" t="s">
        <v>446</v>
      </c>
      <c r="V3" s="20" t="str" cm="1">
        <f t="array" ref="V3:X3">_xlfn.TEXTSPLIT(U3," ")</f>
        <v>2</v>
      </c>
      <c r="W3" t="str">
        <v>0</v>
      </c>
      <c r="X3" t="str">
        <v>14</v>
      </c>
      <c r="Y3" s="14" t="s">
        <v>522</v>
      </c>
      <c r="Z3" s="20" t="str" cm="1">
        <f t="array" ref="Z3:AB3">_xlfn.TEXTSPLIT(Y3," ")</f>
        <v>2</v>
      </c>
      <c r="AA3" t="str">
        <v>0</v>
      </c>
      <c r="AB3" t="str">
        <v>11.5467</v>
      </c>
      <c r="AC3" s="14" t="s">
        <v>446</v>
      </c>
      <c r="AD3" s="20" t="str" cm="1">
        <f t="array" ref="AD3:AF3">_xlfn.TEXTSPLIT(AC3," ")</f>
        <v>2</v>
      </c>
      <c r="AE3" t="str">
        <v>0</v>
      </c>
      <c r="AF3" t="str">
        <v>14</v>
      </c>
    </row>
    <row r="4" spans="1:32" x14ac:dyDescent="0.45">
      <c r="A4" s="14" t="s">
        <v>496</v>
      </c>
      <c r="B4" s="20" t="str" cm="1">
        <f t="array" ref="B4:D4">_xlfn.TEXTSPLIT(A4," ")</f>
        <v>3</v>
      </c>
      <c r="C4" t="str">
        <v>0</v>
      </c>
      <c r="D4" t="str">
        <v>13.7234</v>
      </c>
      <c r="E4" s="14" t="s">
        <v>483</v>
      </c>
      <c r="F4" s="20" t="str" cm="1">
        <f t="array" ref="F4:H4">_xlfn.TEXTSPLIT(E4," ")</f>
        <v>3</v>
      </c>
      <c r="G4" t="str">
        <v>0</v>
      </c>
      <c r="H4" t="str">
        <v>0</v>
      </c>
      <c r="I4" s="14" t="s">
        <v>447</v>
      </c>
      <c r="J4" s="20" t="str" cm="1">
        <f t="array" ref="J4:L4">_xlfn.TEXTSPLIT(I4," ")</f>
        <v>3</v>
      </c>
      <c r="K4" t="str">
        <v>0</v>
      </c>
      <c r="L4" t="str">
        <v>14</v>
      </c>
      <c r="M4" s="14" t="s">
        <v>447</v>
      </c>
      <c r="N4" s="20" t="str" cm="1">
        <f t="array" ref="N4:P4">_xlfn.TEXTSPLIT(M4," ")</f>
        <v>3</v>
      </c>
      <c r="O4" t="str">
        <v>0</v>
      </c>
      <c r="P4" t="str">
        <v>14</v>
      </c>
      <c r="Q4" s="14" t="s">
        <v>483</v>
      </c>
      <c r="R4" s="20" t="str" cm="1">
        <f t="array" ref="R4:T4">_xlfn.TEXTSPLIT(Q4," ")</f>
        <v>3</v>
      </c>
      <c r="S4" t="str">
        <v>0</v>
      </c>
      <c r="T4" t="str">
        <v>0</v>
      </c>
      <c r="U4" s="14" t="s">
        <v>447</v>
      </c>
      <c r="V4" s="20" t="str" cm="1">
        <f t="array" ref="V4:X4">_xlfn.TEXTSPLIT(U4," ")</f>
        <v>3</v>
      </c>
      <c r="W4" t="str">
        <v>0</v>
      </c>
      <c r="X4" t="str">
        <v>14</v>
      </c>
      <c r="Y4" s="14" t="s">
        <v>523</v>
      </c>
      <c r="Z4" s="20" t="str" cm="1">
        <f t="array" ref="Z4:AB4">_xlfn.TEXTSPLIT(Y4," ")</f>
        <v>3</v>
      </c>
      <c r="AA4" t="str">
        <v>0</v>
      </c>
      <c r="AB4" t="str">
        <v>11.1702</v>
      </c>
      <c r="AC4" s="14" t="s">
        <v>447</v>
      </c>
      <c r="AD4" s="20" t="str" cm="1">
        <f t="array" ref="AD4:AF4">_xlfn.TEXTSPLIT(AC4," ")</f>
        <v>3</v>
      </c>
      <c r="AE4" t="str">
        <v>0</v>
      </c>
      <c r="AF4" t="str">
        <v>14</v>
      </c>
    </row>
    <row r="5" spans="1:32" x14ac:dyDescent="0.45">
      <c r="A5" s="14" t="s">
        <v>497</v>
      </c>
      <c r="B5" s="20" t="str" cm="1">
        <f t="array" ref="B5:D5">_xlfn.TEXTSPLIT(A5," ")</f>
        <v>4</v>
      </c>
      <c r="C5" t="str">
        <v>0</v>
      </c>
      <c r="D5" t="str">
        <v>13.4982</v>
      </c>
      <c r="E5" s="14" t="s">
        <v>484</v>
      </c>
      <c r="F5" s="20" t="str" cm="1">
        <f t="array" ref="F5:H5">_xlfn.TEXTSPLIT(E5," ")</f>
        <v>4</v>
      </c>
      <c r="G5" t="str">
        <v>0</v>
      </c>
      <c r="H5" t="str">
        <v>0</v>
      </c>
      <c r="I5" s="14" t="s">
        <v>448</v>
      </c>
      <c r="J5" s="20" t="str" cm="1">
        <f t="array" ref="J5:L5">_xlfn.TEXTSPLIT(I5," ")</f>
        <v>4</v>
      </c>
      <c r="K5" t="str">
        <v>0</v>
      </c>
      <c r="L5" t="str">
        <v>14</v>
      </c>
      <c r="M5" s="14" t="s">
        <v>448</v>
      </c>
      <c r="N5" s="20" t="str" cm="1">
        <f t="array" ref="N5:P5">_xlfn.TEXTSPLIT(M5," ")</f>
        <v>4</v>
      </c>
      <c r="O5" t="str">
        <v>0</v>
      </c>
      <c r="P5" t="str">
        <v>14</v>
      </c>
      <c r="Q5" s="14" t="s">
        <v>484</v>
      </c>
      <c r="R5" s="20" t="str" cm="1">
        <f t="array" ref="R5:T5">_xlfn.TEXTSPLIT(Q5," ")</f>
        <v>4</v>
      </c>
      <c r="S5" t="str">
        <v>0</v>
      </c>
      <c r="T5" t="str">
        <v>0</v>
      </c>
      <c r="U5" s="14" t="s">
        <v>448</v>
      </c>
      <c r="V5" s="20" t="str" cm="1">
        <f t="array" ref="V5:X5">_xlfn.TEXTSPLIT(U5," ")</f>
        <v>4</v>
      </c>
      <c r="W5" t="str">
        <v>0</v>
      </c>
      <c r="X5" t="str">
        <v>14</v>
      </c>
      <c r="Y5" s="14" t="s">
        <v>524</v>
      </c>
      <c r="Z5" s="20" t="str" cm="1">
        <f t="array" ref="Z5:AB5">_xlfn.TEXTSPLIT(Y5," ")</f>
        <v>4</v>
      </c>
      <c r="AA5" t="str">
        <v>0</v>
      </c>
      <c r="AB5" t="str">
        <v>10.9668</v>
      </c>
      <c r="AC5" s="14" t="s">
        <v>448</v>
      </c>
      <c r="AD5" s="20" t="str" cm="1">
        <f t="array" ref="AD5:AF5">_xlfn.TEXTSPLIT(AC5," ")</f>
        <v>4</v>
      </c>
      <c r="AE5" t="str">
        <v>0</v>
      </c>
      <c r="AF5" t="str">
        <v>14</v>
      </c>
    </row>
    <row r="6" spans="1:32" x14ac:dyDescent="0.45">
      <c r="A6" s="14" t="s">
        <v>449</v>
      </c>
      <c r="B6" s="20" t="str" cm="1">
        <f t="array" ref="B6:D6">_xlfn.TEXTSPLIT(A6," ")</f>
        <v>5</v>
      </c>
      <c r="C6" t="str">
        <v>0</v>
      </c>
      <c r="D6" t="str">
        <v>14</v>
      </c>
      <c r="E6" s="14" t="s">
        <v>485</v>
      </c>
      <c r="F6" s="20" t="str" cm="1">
        <f t="array" ref="F6:H6">_xlfn.TEXTSPLIT(E6," ")</f>
        <v>5</v>
      </c>
      <c r="G6" t="str">
        <v>0</v>
      </c>
      <c r="H6" t="str">
        <v>0</v>
      </c>
      <c r="I6" s="14" t="s">
        <v>449</v>
      </c>
      <c r="J6" s="20" t="str" cm="1">
        <f t="array" ref="J6:L6">_xlfn.TEXTSPLIT(I6," ")</f>
        <v>5</v>
      </c>
      <c r="K6" t="str">
        <v>0</v>
      </c>
      <c r="L6" t="str">
        <v>14</v>
      </c>
      <c r="M6" s="14" t="s">
        <v>449</v>
      </c>
      <c r="N6" s="20" t="str" cm="1">
        <f t="array" ref="N6:P6">_xlfn.TEXTSPLIT(M6," ")</f>
        <v>5</v>
      </c>
      <c r="O6" t="str">
        <v>0</v>
      </c>
      <c r="P6" t="str">
        <v>14</v>
      </c>
      <c r="Q6" s="14" t="s">
        <v>485</v>
      </c>
      <c r="R6" s="20" t="str" cm="1">
        <f t="array" ref="R6:T6">_xlfn.TEXTSPLIT(Q6," ")</f>
        <v>5</v>
      </c>
      <c r="S6" t="str">
        <v>0</v>
      </c>
      <c r="T6" t="str">
        <v>0</v>
      </c>
      <c r="U6" s="14" t="s">
        <v>449</v>
      </c>
      <c r="V6" s="20" t="str" cm="1">
        <f t="array" ref="V6:X6">_xlfn.TEXTSPLIT(U6," ")</f>
        <v>5</v>
      </c>
      <c r="W6" t="str">
        <v>0</v>
      </c>
      <c r="X6" t="str">
        <v>14</v>
      </c>
      <c r="Y6" s="14" t="s">
        <v>525</v>
      </c>
      <c r="Z6" s="20" t="str" cm="1">
        <f t="array" ref="Z6:AB6">_xlfn.TEXTSPLIT(Y6," ")</f>
        <v>5</v>
      </c>
      <c r="AA6" t="str">
        <v>0</v>
      </c>
      <c r="AB6" t="str">
        <v>11.8357</v>
      </c>
      <c r="AC6" s="14" t="s">
        <v>449</v>
      </c>
      <c r="AD6" s="20" t="str" cm="1">
        <f t="array" ref="AD6:AF6">_xlfn.TEXTSPLIT(AC6," ")</f>
        <v>5</v>
      </c>
      <c r="AE6" t="str">
        <v>0</v>
      </c>
      <c r="AF6" t="str">
        <v>14</v>
      </c>
    </row>
    <row r="7" spans="1:32" x14ac:dyDescent="0.45">
      <c r="A7" s="14" t="s">
        <v>450</v>
      </c>
      <c r="B7" s="20" t="str" cm="1">
        <f t="array" ref="B7:D7">_xlfn.TEXTSPLIT(A7," ")</f>
        <v>6</v>
      </c>
      <c r="C7" t="str">
        <v>0</v>
      </c>
      <c r="D7" t="str">
        <v>14</v>
      </c>
      <c r="E7" s="14" t="s">
        <v>486</v>
      </c>
      <c r="F7" s="20" t="str" cm="1">
        <f t="array" ref="F7:H7">_xlfn.TEXTSPLIT(E7," ")</f>
        <v>6</v>
      </c>
      <c r="G7" t="str">
        <v>0</v>
      </c>
      <c r="H7" t="str">
        <v>0</v>
      </c>
      <c r="I7" s="14" t="s">
        <v>450</v>
      </c>
      <c r="J7" s="20" t="str" cm="1">
        <f t="array" ref="J7:L7">_xlfn.TEXTSPLIT(I7," ")</f>
        <v>6</v>
      </c>
      <c r="K7" t="str">
        <v>0</v>
      </c>
      <c r="L7" t="str">
        <v>14</v>
      </c>
      <c r="M7" s="14" t="s">
        <v>450</v>
      </c>
      <c r="N7" s="20" t="str" cm="1">
        <f t="array" ref="N7:P7">_xlfn.TEXTSPLIT(M7," ")</f>
        <v>6</v>
      </c>
      <c r="O7" t="str">
        <v>0</v>
      </c>
      <c r="P7" t="str">
        <v>14</v>
      </c>
      <c r="Q7" s="14" t="s">
        <v>486</v>
      </c>
      <c r="R7" s="20" t="str" cm="1">
        <f t="array" ref="R7:T7">_xlfn.TEXTSPLIT(Q7," ")</f>
        <v>6</v>
      </c>
      <c r="S7" t="str">
        <v>0</v>
      </c>
      <c r="T7" t="str">
        <v>0</v>
      </c>
      <c r="U7" s="14" t="s">
        <v>450</v>
      </c>
      <c r="V7" s="20" t="str" cm="1">
        <f t="array" ref="V7:X7">_xlfn.TEXTSPLIT(U7," ")</f>
        <v>6</v>
      </c>
      <c r="W7" t="str">
        <v>0</v>
      </c>
      <c r="X7" t="str">
        <v>14</v>
      </c>
      <c r="Y7" s="14" t="s">
        <v>450</v>
      </c>
      <c r="Z7" s="20" t="str" cm="1">
        <f t="array" ref="Z7:AB7">_xlfn.TEXTSPLIT(Y7," ")</f>
        <v>6</v>
      </c>
      <c r="AA7" t="str">
        <v>0</v>
      </c>
      <c r="AB7" t="str">
        <v>14</v>
      </c>
      <c r="AC7" s="14" t="s">
        <v>450</v>
      </c>
      <c r="AD7" s="20" t="str" cm="1">
        <f t="array" ref="AD7:AF7">_xlfn.TEXTSPLIT(AC7," ")</f>
        <v>6</v>
      </c>
      <c r="AE7" t="str">
        <v>0</v>
      </c>
      <c r="AF7" t="str">
        <v>14</v>
      </c>
    </row>
    <row r="8" spans="1:32" x14ac:dyDescent="0.45">
      <c r="A8" s="14" t="s">
        <v>451</v>
      </c>
      <c r="B8" s="20" t="str" cm="1">
        <f t="array" ref="B8:D8">_xlfn.TEXTSPLIT(A8," ")</f>
        <v>7</v>
      </c>
      <c r="C8" t="str">
        <v>0</v>
      </c>
      <c r="D8" t="str">
        <v>14</v>
      </c>
      <c r="E8" s="14" t="s">
        <v>487</v>
      </c>
      <c r="F8" s="20" t="str" cm="1">
        <f t="array" ref="F8:H8">_xlfn.TEXTSPLIT(E8," ")</f>
        <v>7</v>
      </c>
      <c r="G8" t="str">
        <v>0</v>
      </c>
      <c r="H8" t="str">
        <v>0</v>
      </c>
      <c r="I8" s="14" t="s">
        <v>451</v>
      </c>
      <c r="J8" s="20" t="str" cm="1">
        <f t="array" ref="J8:L8">_xlfn.TEXTSPLIT(I8," ")</f>
        <v>7</v>
      </c>
      <c r="K8" t="str">
        <v>0</v>
      </c>
      <c r="L8" t="str">
        <v>14</v>
      </c>
      <c r="M8" s="14" t="s">
        <v>451</v>
      </c>
      <c r="N8" s="20" t="str" cm="1">
        <f t="array" ref="N8:P8">_xlfn.TEXTSPLIT(M8," ")</f>
        <v>7</v>
      </c>
      <c r="O8" t="str">
        <v>0</v>
      </c>
      <c r="P8" t="str">
        <v>14</v>
      </c>
      <c r="Q8" s="14" t="s">
        <v>487</v>
      </c>
      <c r="R8" s="20" t="str" cm="1">
        <f t="array" ref="R8:T8">_xlfn.TEXTSPLIT(Q8," ")</f>
        <v>7</v>
      </c>
      <c r="S8" t="str">
        <v>0</v>
      </c>
      <c r="T8" t="str">
        <v>0</v>
      </c>
      <c r="U8" s="14" t="s">
        <v>451</v>
      </c>
      <c r="V8" s="20" t="str" cm="1">
        <f t="array" ref="V8:X8">_xlfn.TEXTSPLIT(U8," ")</f>
        <v>7</v>
      </c>
      <c r="W8" t="str">
        <v>0</v>
      </c>
      <c r="X8" t="str">
        <v>14</v>
      </c>
      <c r="Y8" s="14" t="s">
        <v>451</v>
      </c>
      <c r="Z8" s="20" t="str" cm="1">
        <f t="array" ref="Z8:AB8">_xlfn.TEXTSPLIT(Y8," ")</f>
        <v>7</v>
      </c>
      <c r="AA8" t="str">
        <v>0</v>
      </c>
      <c r="AB8" t="str">
        <v>14</v>
      </c>
      <c r="AC8" s="14" t="s">
        <v>451</v>
      </c>
      <c r="AD8" s="20" t="str" cm="1">
        <f t="array" ref="AD8:AF8">_xlfn.TEXTSPLIT(AC8," ")</f>
        <v>7</v>
      </c>
      <c r="AE8" t="str">
        <v>0</v>
      </c>
      <c r="AF8" t="str">
        <v>14</v>
      </c>
    </row>
    <row r="9" spans="1:32" x14ac:dyDescent="0.45">
      <c r="A9" s="14" t="s">
        <v>452</v>
      </c>
      <c r="B9" s="20" t="str" cm="1">
        <f t="array" ref="B9:D9">_xlfn.TEXTSPLIT(A9," ")</f>
        <v>8</v>
      </c>
      <c r="C9" t="str">
        <v>0</v>
      </c>
      <c r="D9" t="str">
        <v>14</v>
      </c>
      <c r="E9" s="14" t="s">
        <v>488</v>
      </c>
      <c r="F9" s="20" t="str" cm="1">
        <f t="array" ref="F9:H9">_xlfn.TEXTSPLIT(E9," ")</f>
        <v>8</v>
      </c>
      <c r="G9" t="str">
        <v>0</v>
      </c>
      <c r="H9" t="str">
        <v>0</v>
      </c>
      <c r="I9" s="14" t="s">
        <v>452</v>
      </c>
      <c r="J9" s="20" t="str" cm="1">
        <f t="array" ref="J9:L9">_xlfn.TEXTSPLIT(I9," ")</f>
        <v>8</v>
      </c>
      <c r="K9" t="str">
        <v>0</v>
      </c>
      <c r="L9" t="str">
        <v>14</v>
      </c>
      <c r="M9" s="14" t="s">
        <v>452</v>
      </c>
      <c r="N9" s="20" t="str" cm="1">
        <f t="array" ref="N9:P9">_xlfn.TEXTSPLIT(M9," ")</f>
        <v>8</v>
      </c>
      <c r="O9" t="str">
        <v>0</v>
      </c>
      <c r="P9" t="str">
        <v>14</v>
      </c>
      <c r="Q9" s="14" t="s">
        <v>488</v>
      </c>
      <c r="R9" s="20" t="str" cm="1">
        <f t="array" ref="R9:T9">_xlfn.TEXTSPLIT(Q9," ")</f>
        <v>8</v>
      </c>
      <c r="S9" t="str">
        <v>0</v>
      </c>
      <c r="T9" t="str">
        <v>0</v>
      </c>
      <c r="U9" s="14" t="s">
        <v>452</v>
      </c>
      <c r="V9" s="20" t="str" cm="1">
        <f t="array" ref="V9:X9">_xlfn.TEXTSPLIT(U9," ")</f>
        <v>8</v>
      </c>
      <c r="W9" t="str">
        <v>0</v>
      </c>
      <c r="X9" t="str">
        <v>14</v>
      </c>
      <c r="Y9" s="14" t="s">
        <v>452</v>
      </c>
      <c r="Z9" s="20" t="str" cm="1">
        <f t="array" ref="Z9:AB9">_xlfn.TEXTSPLIT(Y9," ")</f>
        <v>8</v>
      </c>
      <c r="AA9" t="str">
        <v>0</v>
      </c>
      <c r="AB9" t="str">
        <v>14</v>
      </c>
      <c r="AC9" s="14" t="s">
        <v>452</v>
      </c>
      <c r="AD9" s="20" t="str" cm="1">
        <f t="array" ref="AD9:AF9">_xlfn.TEXTSPLIT(AC9," ")</f>
        <v>8</v>
      </c>
      <c r="AE9" t="str">
        <v>0</v>
      </c>
      <c r="AF9" t="str">
        <v>14</v>
      </c>
    </row>
    <row r="10" spans="1:32" x14ac:dyDescent="0.45">
      <c r="A10" s="14" t="s">
        <v>453</v>
      </c>
      <c r="B10" s="20" t="str" cm="1">
        <f t="array" ref="B10:D10">_xlfn.TEXTSPLIT(A10," ")</f>
        <v>9</v>
      </c>
      <c r="C10" t="str">
        <v>20</v>
      </c>
      <c r="D10" t="str">
        <v>14</v>
      </c>
      <c r="E10" s="14" t="s">
        <v>489</v>
      </c>
      <c r="F10" s="20" t="str" cm="1">
        <f t="array" ref="F10:H10">_xlfn.TEXTSPLIT(E10," ")</f>
        <v>9</v>
      </c>
      <c r="G10" t="str">
        <v>0</v>
      </c>
      <c r="H10" t="str">
        <v>0</v>
      </c>
      <c r="I10" s="14" t="s">
        <v>453</v>
      </c>
      <c r="J10" s="20" t="str" cm="1">
        <f t="array" ref="J10:L10">_xlfn.TEXTSPLIT(I10," ")</f>
        <v>9</v>
      </c>
      <c r="K10" t="str">
        <v>20</v>
      </c>
      <c r="L10" t="str">
        <v>14</v>
      </c>
      <c r="M10" s="14" t="s">
        <v>510</v>
      </c>
      <c r="N10" s="20" t="str" cm="1">
        <f t="array" ref="N10:P10">_xlfn.TEXTSPLIT(M10," ")</f>
        <v>9</v>
      </c>
      <c r="O10" t="str">
        <v>0</v>
      </c>
      <c r="P10" t="str">
        <v>14</v>
      </c>
      <c r="Q10" s="14" t="s">
        <v>513</v>
      </c>
      <c r="R10" s="20" t="str" cm="1">
        <f t="array" ref="R10:T10">_xlfn.TEXTSPLIT(Q10," ")</f>
        <v>9</v>
      </c>
      <c r="S10" t="str">
        <v>20</v>
      </c>
      <c r="T10" t="str">
        <v>0</v>
      </c>
      <c r="U10" s="14" t="s">
        <v>453</v>
      </c>
      <c r="V10" s="20" t="str" cm="1">
        <f t="array" ref="V10:X10">_xlfn.TEXTSPLIT(U10," ")</f>
        <v>9</v>
      </c>
      <c r="W10" t="str">
        <v>20</v>
      </c>
      <c r="X10" t="str">
        <v>14</v>
      </c>
      <c r="Y10" s="14" t="s">
        <v>510</v>
      </c>
      <c r="Z10" s="20" t="str" cm="1">
        <f t="array" ref="Z10:AB10">_xlfn.TEXTSPLIT(Y10," ")</f>
        <v>9</v>
      </c>
      <c r="AA10" t="str">
        <v>0</v>
      </c>
      <c r="AB10" t="str">
        <v>14</v>
      </c>
      <c r="AC10" s="14" t="s">
        <v>453</v>
      </c>
      <c r="AD10" s="20" t="str" cm="1">
        <f t="array" ref="AD10:AF10">_xlfn.TEXTSPLIT(AC10," ")</f>
        <v>9</v>
      </c>
      <c r="AE10" t="str">
        <v>20</v>
      </c>
      <c r="AF10" t="str">
        <v>14</v>
      </c>
    </row>
    <row r="11" spans="1:32" x14ac:dyDescent="0.45">
      <c r="A11" s="14" t="s">
        <v>498</v>
      </c>
      <c r="B11" s="20" t="str" cm="1">
        <f t="array" ref="B11:D11">_xlfn.TEXTSPLIT(A11," ")</f>
        <v>10</v>
      </c>
      <c r="C11" t="str">
        <v>20</v>
      </c>
      <c r="D11" t="str">
        <v>13.04</v>
      </c>
      <c r="E11" s="14" t="s">
        <v>490</v>
      </c>
      <c r="F11" s="20" t="str" cm="1">
        <f t="array" ref="F11:H11">_xlfn.TEXTSPLIT(E11," ")</f>
        <v>10</v>
      </c>
      <c r="G11" t="str">
        <v>20</v>
      </c>
      <c r="H11" t="str">
        <v>0</v>
      </c>
      <c r="I11" s="14" t="s">
        <v>454</v>
      </c>
      <c r="J11" s="20" t="str" cm="1">
        <f t="array" ref="J11:L11">_xlfn.TEXTSPLIT(I11," ")</f>
        <v>10</v>
      </c>
      <c r="K11" t="str">
        <v>20</v>
      </c>
      <c r="L11" t="str">
        <v>14</v>
      </c>
      <c r="M11" s="14" t="s">
        <v>454</v>
      </c>
      <c r="N11" s="20" t="str" cm="1">
        <f t="array" ref="N11:P11">_xlfn.TEXTSPLIT(M11," ")</f>
        <v>10</v>
      </c>
      <c r="O11" t="str">
        <v>20</v>
      </c>
      <c r="P11" t="str">
        <v>14</v>
      </c>
      <c r="Q11" s="14" t="s">
        <v>490</v>
      </c>
      <c r="R11" s="20" t="str" cm="1">
        <f t="array" ref="R11:T11">_xlfn.TEXTSPLIT(Q11," ")</f>
        <v>10</v>
      </c>
      <c r="S11" t="str">
        <v>20</v>
      </c>
      <c r="T11" t="str">
        <v>0</v>
      </c>
      <c r="U11" s="14" t="s">
        <v>454</v>
      </c>
      <c r="V11" s="20" t="str" cm="1">
        <f t="array" ref="V11:X11">_xlfn.TEXTSPLIT(U11," ")</f>
        <v>10</v>
      </c>
      <c r="W11" t="str">
        <v>20</v>
      </c>
      <c r="X11" t="str">
        <v>14</v>
      </c>
      <c r="Y11" s="14" t="s">
        <v>454</v>
      </c>
      <c r="Z11" s="20" t="str" cm="1">
        <f t="array" ref="Z11:AB11">_xlfn.TEXTSPLIT(Y11," ")</f>
        <v>10</v>
      </c>
      <c r="AA11" t="str">
        <v>20</v>
      </c>
      <c r="AB11" t="str">
        <v>14</v>
      </c>
      <c r="AC11" s="14" t="s">
        <v>454</v>
      </c>
      <c r="AD11" s="20" t="str" cm="1">
        <f t="array" ref="AD11:AF11">_xlfn.TEXTSPLIT(AC11," ")</f>
        <v>10</v>
      </c>
      <c r="AE11" t="str">
        <v>20</v>
      </c>
      <c r="AF11" t="str">
        <v>14</v>
      </c>
    </row>
    <row r="12" spans="1:32" x14ac:dyDescent="0.45">
      <c r="A12" s="14" t="s">
        <v>499</v>
      </c>
      <c r="B12" s="20" t="str" cm="1">
        <f t="array" ref="B12:D12">_xlfn.TEXTSPLIT(A12," ")</f>
        <v>11</v>
      </c>
      <c r="C12" t="str">
        <v>19.4315</v>
      </c>
      <c r="D12" t="str">
        <v>0</v>
      </c>
      <c r="E12" s="14" t="s">
        <v>491</v>
      </c>
      <c r="F12" s="20" t="str" cm="1">
        <f t="array" ref="F12:H12">_xlfn.TEXTSPLIT(E12," ")</f>
        <v>11</v>
      </c>
      <c r="G12" t="str">
        <v>20</v>
      </c>
      <c r="H12" t="str">
        <v>0</v>
      </c>
      <c r="I12" s="14" t="s">
        <v>505</v>
      </c>
      <c r="J12" s="20" t="str" cm="1">
        <f t="array" ref="J12:L12">_xlfn.TEXTSPLIT(I12," ")</f>
        <v>11</v>
      </c>
      <c r="K12" t="str">
        <v>20</v>
      </c>
      <c r="L12" t="str">
        <v>7.14286</v>
      </c>
      <c r="M12" s="14" t="s">
        <v>455</v>
      </c>
      <c r="N12" s="20" t="str" cm="1">
        <f t="array" ref="N12:P12">_xlfn.TEXTSPLIT(M12," ")</f>
        <v>11</v>
      </c>
      <c r="O12" t="str">
        <v>20</v>
      </c>
      <c r="P12" t="str">
        <v>14</v>
      </c>
      <c r="Q12" s="14" t="s">
        <v>491</v>
      </c>
      <c r="R12" s="20" t="str" cm="1">
        <f t="array" ref="R12:T12">_xlfn.TEXTSPLIT(Q12," ")</f>
        <v>11</v>
      </c>
      <c r="S12" t="str">
        <v>20</v>
      </c>
      <c r="T12" t="str">
        <v>0</v>
      </c>
      <c r="U12" s="14" t="s">
        <v>515</v>
      </c>
      <c r="V12" s="20" t="str" cm="1">
        <f t="array" ref="V12:X12">_xlfn.TEXTSPLIT(U12," ")</f>
        <v>11</v>
      </c>
      <c r="W12" t="str">
        <v>20</v>
      </c>
      <c r="X12" t="str">
        <v>1.14286</v>
      </c>
      <c r="Y12" s="14" t="s">
        <v>455</v>
      </c>
      <c r="Z12" s="20" t="str" cm="1">
        <f t="array" ref="Z12:AB12">_xlfn.TEXTSPLIT(Y12," ")</f>
        <v>11</v>
      </c>
      <c r="AA12" t="str">
        <v>20</v>
      </c>
      <c r="AB12" t="str">
        <v>14</v>
      </c>
      <c r="AC12" s="14" t="s">
        <v>527</v>
      </c>
      <c r="AD12" s="20" t="str" cm="1">
        <f t="array" ref="AD12:AF12">_xlfn.TEXTSPLIT(AC12," ")</f>
        <v>11</v>
      </c>
      <c r="AE12" t="str">
        <v>20</v>
      </c>
      <c r="AF12" t="str">
        <v>11.4719</v>
      </c>
    </row>
    <row r="13" spans="1:32" x14ac:dyDescent="0.45">
      <c r="A13" s="14" t="s">
        <v>500</v>
      </c>
      <c r="B13" s="20" t="str" cm="1">
        <f t="array" ref="B13:D13">_xlfn.TEXTSPLIT(A13," ")</f>
        <v>12</v>
      </c>
      <c r="C13" t="str">
        <v>16.4244</v>
      </c>
      <c r="D13" t="str">
        <v>0</v>
      </c>
      <c r="E13" s="14" t="s">
        <v>492</v>
      </c>
      <c r="F13" s="20" t="str" cm="1">
        <f t="array" ref="F13:H13">_xlfn.TEXTSPLIT(E13," ")</f>
        <v>12</v>
      </c>
      <c r="G13" t="str">
        <v>20</v>
      </c>
      <c r="H13" t="str">
        <v>0</v>
      </c>
      <c r="I13" s="14" t="s">
        <v>506</v>
      </c>
      <c r="J13" s="20" t="str" cm="1">
        <f t="array" ref="J13:L13">_xlfn.TEXTSPLIT(I13," ")</f>
        <v>12</v>
      </c>
      <c r="K13" t="str">
        <v>19.0366</v>
      </c>
      <c r="L13" t="str">
        <v>0</v>
      </c>
      <c r="M13" s="14" t="s">
        <v>511</v>
      </c>
      <c r="N13" s="20" t="str" cm="1">
        <f t="array" ref="N13:P13">_xlfn.TEXTSPLIT(M13," ")</f>
        <v>12</v>
      </c>
      <c r="O13" t="str">
        <v>20</v>
      </c>
      <c r="P13" t="str">
        <v>14</v>
      </c>
      <c r="Q13" s="14" t="s">
        <v>492</v>
      </c>
      <c r="R13" s="20" t="str" cm="1">
        <f t="array" ref="R13:T13">_xlfn.TEXTSPLIT(Q13," ")</f>
        <v>12</v>
      </c>
      <c r="S13" t="str">
        <v>20</v>
      </c>
      <c r="T13" t="str">
        <v>0</v>
      </c>
      <c r="U13" s="14" t="s">
        <v>516</v>
      </c>
      <c r="V13" s="20" t="str" cm="1">
        <f t="array" ref="V13:X13">_xlfn.TEXTSPLIT(U13," ")</f>
        <v>12</v>
      </c>
      <c r="W13" t="str">
        <v>17.0818</v>
      </c>
      <c r="X13" t="str">
        <v>0</v>
      </c>
      <c r="Y13" s="14" t="s">
        <v>511</v>
      </c>
      <c r="Z13" s="20" t="str" cm="1">
        <f t="array" ref="Z13:AB13">_xlfn.TEXTSPLIT(Y13," ")</f>
        <v>12</v>
      </c>
      <c r="AA13" t="str">
        <v>20</v>
      </c>
      <c r="AB13" t="str">
        <v>14</v>
      </c>
      <c r="AC13" s="14" t="s">
        <v>528</v>
      </c>
      <c r="AD13" s="20" t="str" cm="1">
        <f t="array" ref="AD13:AF13">_xlfn.TEXTSPLIT(AC13," ")</f>
        <v>12</v>
      </c>
      <c r="AE13" t="str">
        <v>20</v>
      </c>
      <c r="AF13" t="str">
        <v>13.5321</v>
      </c>
    </row>
    <row r="14" spans="1:32" x14ac:dyDescent="0.45">
      <c r="A14" s="14" t="s">
        <v>501</v>
      </c>
      <c r="B14" s="20" t="str" cm="1">
        <f t="array" ref="B14:D14">_xlfn.TEXTSPLIT(A14," ")</f>
        <v>13</v>
      </c>
      <c r="C14" t="str">
        <v>15.5983</v>
      </c>
      <c r="D14" t="str">
        <v>0</v>
      </c>
      <c r="E14" s="14" t="s">
        <v>493</v>
      </c>
      <c r="F14" s="20" t="str" cm="1">
        <f t="array" ref="F14:H14">_xlfn.TEXTSPLIT(E14," ")</f>
        <v>13</v>
      </c>
      <c r="G14" t="str">
        <v>20</v>
      </c>
      <c r="H14" t="str">
        <v>0</v>
      </c>
      <c r="I14" s="14" t="s">
        <v>507</v>
      </c>
      <c r="J14" s="20" t="str" cm="1">
        <f t="array" ref="J14:L14">_xlfn.TEXTSPLIT(I14," ")</f>
        <v>13</v>
      </c>
      <c r="K14" t="str">
        <v>18.2556</v>
      </c>
      <c r="L14" t="str">
        <v>0</v>
      </c>
      <c r="M14" s="14" t="s">
        <v>512</v>
      </c>
      <c r="N14" s="20" t="str" cm="1">
        <f t="array" ref="N14:P14">_xlfn.TEXTSPLIT(M14," ")</f>
        <v>13</v>
      </c>
      <c r="O14" t="str">
        <v>20</v>
      </c>
      <c r="P14" t="str">
        <v>14</v>
      </c>
      <c r="Q14" s="14" t="s">
        <v>493</v>
      </c>
      <c r="R14" s="20" t="str" cm="1">
        <f t="array" ref="R14:T14">_xlfn.TEXTSPLIT(Q14," ")</f>
        <v>13</v>
      </c>
      <c r="S14" t="str">
        <v>20</v>
      </c>
      <c r="T14" t="str">
        <v>0</v>
      </c>
      <c r="U14" s="14" t="s">
        <v>517</v>
      </c>
      <c r="V14" s="20" t="str" cm="1">
        <f t="array" ref="V14:X14">_xlfn.TEXTSPLIT(U14," ")</f>
        <v>13</v>
      </c>
      <c r="W14" t="str">
        <v>16.0481</v>
      </c>
      <c r="X14" t="str">
        <v>0</v>
      </c>
      <c r="Y14" s="14" t="s">
        <v>512</v>
      </c>
      <c r="Z14" s="20" t="str" cm="1">
        <f t="array" ref="Z14:AB14">_xlfn.TEXTSPLIT(Y14," ")</f>
        <v>13</v>
      </c>
      <c r="AA14" t="str">
        <v>20</v>
      </c>
      <c r="AB14" t="str">
        <v>14</v>
      </c>
      <c r="AC14" s="14" t="s">
        <v>512</v>
      </c>
      <c r="AD14" s="20" t="str" cm="1">
        <f t="array" ref="AD14:AF14">_xlfn.TEXTSPLIT(AC14," ")</f>
        <v>13</v>
      </c>
      <c r="AE14" t="str">
        <v>20</v>
      </c>
      <c r="AF14" t="str">
        <v>14</v>
      </c>
    </row>
    <row r="15" spans="1:32" x14ac:dyDescent="0.45">
      <c r="A15" s="14" t="s">
        <v>502</v>
      </c>
      <c r="B15" s="20" t="str" cm="1">
        <f t="array" ref="B15:D15">_xlfn.TEXTSPLIT(A15," ")</f>
        <v>14</v>
      </c>
      <c r="C15" t="str">
        <v>16.0232</v>
      </c>
      <c r="D15" t="str">
        <v>0</v>
      </c>
      <c r="E15" s="14" t="s">
        <v>494</v>
      </c>
      <c r="F15" s="20" t="str" cm="1">
        <f t="array" ref="F15:H15">_xlfn.TEXTSPLIT(E15," ")</f>
        <v>14</v>
      </c>
      <c r="G15" t="str">
        <v>20</v>
      </c>
      <c r="H15" t="str">
        <v>14</v>
      </c>
      <c r="I15" s="14" t="s">
        <v>508</v>
      </c>
      <c r="J15" s="20" t="str" cm="1">
        <f t="array" ref="J15:L15">_xlfn.TEXTSPLIT(I15," ")</f>
        <v>14</v>
      </c>
      <c r="K15" t="str">
        <v>18.75</v>
      </c>
      <c r="L15" t="str">
        <v>0</v>
      </c>
      <c r="M15" s="14" t="s">
        <v>494</v>
      </c>
      <c r="N15" s="20" t="str" cm="1">
        <f t="array" ref="N15:P15">_xlfn.TEXTSPLIT(M15," ")</f>
        <v>14</v>
      </c>
      <c r="O15" t="str">
        <v>20</v>
      </c>
      <c r="P15" t="str">
        <v>14</v>
      </c>
      <c r="Q15" s="14" t="s">
        <v>514</v>
      </c>
      <c r="R15" s="20" t="str" cm="1">
        <f t="array" ref="R15:T15">_xlfn.TEXTSPLIT(Q15," ")</f>
        <v>14</v>
      </c>
      <c r="S15" t="str">
        <v>20</v>
      </c>
      <c r="T15" t="str">
        <v>4.45946</v>
      </c>
      <c r="U15" s="14" t="s">
        <v>518</v>
      </c>
      <c r="V15" s="20" t="str" cm="1">
        <f t="array" ref="V15:X15">_xlfn.TEXTSPLIT(U15," ")</f>
        <v>14</v>
      </c>
      <c r="W15" t="str">
        <v>16.342</v>
      </c>
      <c r="X15" t="str">
        <v>0</v>
      </c>
      <c r="Y15" s="14" t="s">
        <v>494</v>
      </c>
      <c r="Z15" s="20" t="str" cm="1">
        <f t="array" ref="Z15:AB15">_xlfn.TEXTSPLIT(Y15," ")</f>
        <v>14</v>
      </c>
      <c r="AA15" t="str">
        <v>20</v>
      </c>
      <c r="AB15" t="str">
        <v>14</v>
      </c>
      <c r="AC15" s="14" t="s">
        <v>494</v>
      </c>
      <c r="AD15" s="20" t="str" cm="1">
        <f t="array" ref="AD15:AF15">_xlfn.TEXTSPLIT(AC15," ")</f>
        <v>14</v>
      </c>
      <c r="AE15" t="str">
        <v>20</v>
      </c>
      <c r="AF15" t="str">
        <v>14</v>
      </c>
    </row>
    <row r="16" spans="1:32" x14ac:dyDescent="0.45">
      <c r="A16" s="14" t="s">
        <v>503</v>
      </c>
      <c r="B16" s="20" t="str" cm="1">
        <f t="array" ref="B16:D16">_xlfn.TEXTSPLIT(A16," ")</f>
        <v>15</v>
      </c>
      <c r="C16" t="str">
        <v>17.3068</v>
      </c>
      <c r="D16" t="str">
        <v>0</v>
      </c>
      <c r="E16" s="14" t="s">
        <v>459</v>
      </c>
      <c r="F16" s="20" t="str" cm="1">
        <f t="array" ref="F16:H16">_xlfn.TEXTSPLIT(E16," ")</f>
        <v>15</v>
      </c>
      <c r="G16" t="str">
        <v>20</v>
      </c>
      <c r="H16" t="str">
        <v>14</v>
      </c>
      <c r="I16" s="14" t="s">
        <v>509</v>
      </c>
      <c r="J16" s="20" t="str" cm="1">
        <f t="array" ref="J16:L16">_xlfn.TEXTSPLIT(I16," ")</f>
        <v>15</v>
      </c>
      <c r="K16" t="str">
        <v>20</v>
      </c>
      <c r="L16" t="str">
        <v>2</v>
      </c>
      <c r="M16" s="14" t="s">
        <v>459</v>
      </c>
      <c r="N16" s="20" t="str" cm="1">
        <f t="array" ref="N16:P16">_xlfn.TEXTSPLIT(M16," ")</f>
        <v>15</v>
      </c>
      <c r="O16" t="str">
        <v>20</v>
      </c>
      <c r="P16" t="str">
        <v>14</v>
      </c>
      <c r="Q16" s="14" t="s">
        <v>459</v>
      </c>
      <c r="R16" s="20" t="str" cm="1">
        <f t="array" ref="R16:T16">_xlfn.TEXTSPLIT(Q16," ")</f>
        <v>15</v>
      </c>
      <c r="S16" t="str">
        <v>20</v>
      </c>
      <c r="T16" t="str">
        <v>14</v>
      </c>
      <c r="U16" s="14" t="s">
        <v>519</v>
      </c>
      <c r="V16" s="20" t="str" cm="1">
        <f t="array" ref="V16:X16">_xlfn.TEXTSPLIT(U16," ")</f>
        <v>15</v>
      </c>
      <c r="W16" t="str">
        <v>17.6316</v>
      </c>
      <c r="X16" t="str">
        <v>0</v>
      </c>
      <c r="Y16" s="14" t="s">
        <v>459</v>
      </c>
      <c r="Z16" s="20" t="str" cm="1">
        <f t="array" ref="Z16:AB16">_xlfn.TEXTSPLIT(Y16," ")</f>
        <v>15</v>
      </c>
      <c r="AA16" t="str">
        <v>20</v>
      </c>
      <c r="AB16" t="str">
        <v>14</v>
      </c>
      <c r="AC16" s="14" t="s">
        <v>459</v>
      </c>
      <c r="AD16" s="20" t="str" cm="1">
        <f t="array" ref="AD16:AF16">_xlfn.TEXTSPLIT(AC16," ")</f>
        <v>15</v>
      </c>
      <c r="AE16" t="str">
        <v>20</v>
      </c>
      <c r="AF16" t="str">
        <v>14</v>
      </c>
    </row>
    <row r="17" spans="1:32" x14ac:dyDescent="0.45">
      <c r="A17" s="14" t="s">
        <v>504</v>
      </c>
      <c r="B17" s="20" t="str" cm="1">
        <f t="array" ref="B17:D17">_xlfn.TEXTSPLIT(A17," ")</f>
        <v>16</v>
      </c>
      <c r="C17" t="str">
        <v>20</v>
      </c>
      <c r="D17" t="str">
        <v>2.7686</v>
      </c>
      <c r="E17" s="14" t="s">
        <v>460</v>
      </c>
      <c r="F17" s="20" t="str" cm="1">
        <f t="array" ref="F17:H17">_xlfn.TEXTSPLIT(E17," ")</f>
        <v>16</v>
      </c>
      <c r="G17" t="str">
        <v>20</v>
      </c>
      <c r="H17" t="str">
        <v>14</v>
      </c>
      <c r="I17" s="14" t="s">
        <v>460</v>
      </c>
      <c r="J17" s="20" t="str" cm="1">
        <f t="array" ref="J17:L17">_xlfn.TEXTSPLIT(I17," ")</f>
        <v>16</v>
      </c>
      <c r="K17" t="str">
        <v>20</v>
      </c>
      <c r="L17" t="str">
        <v>14</v>
      </c>
      <c r="M17" s="14" t="s">
        <v>460</v>
      </c>
      <c r="N17" s="20" t="str" cm="1">
        <f t="array" ref="N17:P17">_xlfn.TEXTSPLIT(M17," ")</f>
        <v>16</v>
      </c>
      <c r="O17" t="str">
        <v>20</v>
      </c>
      <c r="P17" t="str">
        <v>14</v>
      </c>
      <c r="Q17" s="14" t="s">
        <v>460</v>
      </c>
      <c r="R17" s="20" t="str" cm="1">
        <f t="array" ref="R17:T17">_xlfn.TEXTSPLIT(Q17," ")</f>
        <v>16</v>
      </c>
      <c r="S17" t="str">
        <v>20</v>
      </c>
      <c r="T17" t="str">
        <v>14</v>
      </c>
      <c r="U17" s="14" t="s">
        <v>520</v>
      </c>
      <c r="V17" s="20" t="str" cm="1">
        <f t="array" ref="V17:X17">_xlfn.TEXTSPLIT(U17," ")</f>
        <v>16</v>
      </c>
      <c r="W17" t="str">
        <v>20</v>
      </c>
      <c r="X17" t="str">
        <v>3.39207</v>
      </c>
      <c r="Y17" s="14" t="s">
        <v>460</v>
      </c>
      <c r="Z17" s="20" t="str" cm="1">
        <f t="array" ref="Z17:AB17">_xlfn.TEXTSPLIT(Y17," ")</f>
        <v>16</v>
      </c>
      <c r="AA17" t="str">
        <v>20</v>
      </c>
      <c r="AB17" t="str">
        <v>14</v>
      </c>
      <c r="AC17" s="14" t="s">
        <v>460</v>
      </c>
      <c r="AD17" s="20" t="str" cm="1">
        <f t="array" ref="AD17:AF17">_xlfn.TEXTSPLIT(AC17," ")</f>
        <v>16</v>
      </c>
      <c r="AE17" t="str">
        <v>20</v>
      </c>
      <c r="AF17" t="str">
        <v>14</v>
      </c>
    </row>
    <row r="18" spans="1:32" x14ac:dyDescent="0.45">
      <c r="A18" s="14" t="s">
        <v>461</v>
      </c>
      <c r="B18" s="20" t="str" cm="1">
        <f t="array" ref="B18:D18">_xlfn.TEXTSPLIT(A18," ")</f>
        <v>17</v>
      </c>
      <c r="C18" t="str">
        <v>20</v>
      </c>
      <c r="D18" t="str">
        <v>14</v>
      </c>
      <c r="E18" s="14" t="s">
        <v>461</v>
      </c>
      <c r="F18" s="20" t="str" cm="1">
        <f t="array" ref="F18:H18">_xlfn.TEXTSPLIT(E18," ")</f>
        <v>17</v>
      </c>
      <c r="G18" t="str">
        <v>20</v>
      </c>
      <c r="H18" t="str">
        <v>14</v>
      </c>
      <c r="I18" s="14" t="s">
        <v>461</v>
      </c>
      <c r="J18" s="20" t="str" cm="1">
        <f t="array" ref="J18:L18">_xlfn.TEXTSPLIT(I18," ")</f>
        <v>17</v>
      </c>
      <c r="K18" t="str">
        <v>20</v>
      </c>
      <c r="L18" t="str">
        <v>14</v>
      </c>
      <c r="M18" s="14" t="s">
        <v>461</v>
      </c>
      <c r="N18" s="20" t="str" cm="1">
        <f t="array" ref="N18:P18">_xlfn.TEXTSPLIT(M18," ")</f>
        <v>17</v>
      </c>
      <c r="O18" t="str">
        <v>20</v>
      </c>
      <c r="P18" t="str">
        <v>14</v>
      </c>
      <c r="Q18" s="14" t="s">
        <v>461</v>
      </c>
      <c r="R18" s="20" t="str" cm="1">
        <f t="array" ref="R18:T18">_xlfn.TEXTSPLIT(Q18," ")</f>
        <v>17</v>
      </c>
      <c r="S18" t="str">
        <v>20</v>
      </c>
      <c r="T18" t="str">
        <v>14</v>
      </c>
      <c r="U18" s="14" t="s">
        <v>461</v>
      </c>
      <c r="V18" s="20" t="str" cm="1">
        <f t="array" ref="V18:X18">_xlfn.TEXTSPLIT(U18," ")</f>
        <v>17</v>
      </c>
      <c r="W18" t="str">
        <v>20</v>
      </c>
      <c r="X18" t="str">
        <v>14</v>
      </c>
      <c r="Y18" s="14" t="s">
        <v>461</v>
      </c>
      <c r="Z18" s="20" t="str" cm="1">
        <f t="array" ref="Z18:AB18">_xlfn.TEXTSPLIT(Y18," ")</f>
        <v>17</v>
      </c>
      <c r="AA18" t="str">
        <v>20</v>
      </c>
      <c r="AB18" t="str">
        <v>14</v>
      </c>
      <c r="AC18" s="14" t="s">
        <v>461</v>
      </c>
      <c r="AD18" s="20" t="str" cm="1">
        <f t="array" ref="AD18:AF18">_xlfn.TEXTSPLIT(AC18," ")</f>
        <v>17</v>
      </c>
      <c r="AE18" t="str">
        <v>20</v>
      </c>
      <c r="AF18" t="str">
        <v>14</v>
      </c>
    </row>
    <row r="19" spans="1:32" x14ac:dyDescent="0.45">
      <c r="A19" s="14" t="s">
        <v>462</v>
      </c>
      <c r="B19" s="20" t="str" cm="1">
        <f t="array" ref="B19:D19">_xlfn.TEXTSPLIT(A19," ")</f>
        <v>18</v>
      </c>
      <c r="C19" t="str">
        <v>20</v>
      </c>
      <c r="D19" t="str">
        <v>14</v>
      </c>
      <c r="E19" s="14" t="s">
        <v>462</v>
      </c>
      <c r="F19" s="20" t="str" cm="1">
        <f t="array" ref="F19:H19">_xlfn.TEXTSPLIT(E19," ")</f>
        <v>18</v>
      </c>
      <c r="G19" t="str">
        <v>20</v>
      </c>
      <c r="H19" t="str">
        <v>14</v>
      </c>
      <c r="I19" s="14" t="s">
        <v>462</v>
      </c>
      <c r="J19" s="20" t="str" cm="1">
        <f t="array" ref="J19:L19">_xlfn.TEXTSPLIT(I19," ")</f>
        <v>18</v>
      </c>
      <c r="K19" t="str">
        <v>20</v>
      </c>
      <c r="L19" t="str">
        <v>14</v>
      </c>
      <c r="M19" s="14" t="s">
        <v>462</v>
      </c>
      <c r="N19" s="20" t="str" cm="1">
        <f t="array" ref="N19:P19">_xlfn.TEXTSPLIT(M19," ")</f>
        <v>18</v>
      </c>
      <c r="O19" t="str">
        <v>20</v>
      </c>
      <c r="P19" t="str">
        <v>14</v>
      </c>
      <c r="Q19" s="14" t="s">
        <v>462</v>
      </c>
      <c r="R19" s="20" t="str" cm="1">
        <f t="array" ref="R19:T19">_xlfn.TEXTSPLIT(Q19," ")</f>
        <v>18</v>
      </c>
      <c r="S19" t="str">
        <v>20</v>
      </c>
      <c r="T19" t="str">
        <v>14</v>
      </c>
      <c r="U19" s="14" t="s">
        <v>462</v>
      </c>
      <c r="V19" s="20" t="str" cm="1">
        <f t="array" ref="V19:X19">_xlfn.TEXTSPLIT(U19," ")</f>
        <v>18</v>
      </c>
      <c r="W19" t="str">
        <v>20</v>
      </c>
      <c r="X19" t="str">
        <v>14</v>
      </c>
      <c r="Y19" s="14" t="s">
        <v>462</v>
      </c>
      <c r="Z19" s="20" t="str" cm="1">
        <f t="array" ref="Z19:AB19">_xlfn.TEXTSPLIT(Y19," ")</f>
        <v>18</v>
      </c>
      <c r="AA19" t="str">
        <v>20</v>
      </c>
      <c r="AB19" t="str">
        <v>14</v>
      </c>
      <c r="AC19" s="14" t="s">
        <v>462</v>
      </c>
      <c r="AD19" s="20" t="str" cm="1">
        <f t="array" ref="AD19:AF19">_xlfn.TEXTSPLIT(AC19," ")</f>
        <v>18</v>
      </c>
      <c r="AE19" t="str">
        <v>20</v>
      </c>
      <c r="AF19" t="str">
        <v>14</v>
      </c>
    </row>
    <row r="20" spans="1:32" x14ac:dyDescent="0.45">
      <c r="A20" s="14" t="s">
        <v>463</v>
      </c>
      <c r="B20" s="20" t="str" cm="1">
        <f t="array" ref="B20:D20">_xlfn.TEXTSPLIT(A20," ")</f>
        <v>19</v>
      </c>
      <c r="C20" t="str">
        <v>20</v>
      </c>
      <c r="D20" t="str">
        <v>14</v>
      </c>
      <c r="E20" s="14" t="s">
        <v>495</v>
      </c>
      <c r="F20" s="20" t="str" cm="1">
        <f t="array" ref="F20:H20">_xlfn.TEXTSPLIT(E20," ")</f>
        <v>19</v>
      </c>
      <c r="G20" t="str">
        <v>0</v>
      </c>
      <c r="H20" t="str">
        <v>14</v>
      </c>
      <c r="I20" s="14" t="s">
        <v>463</v>
      </c>
      <c r="J20" s="20" t="str" cm="1">
        <f t="array" ref="J20:L20">_xlfn.TEXTSPLIT(I20," ")</f>
        <v>19</v>
      </c>
      <c r="K20" t="str">
        <v>20</v>
      </c>
      <c r="L20" t="str">
        <v>14</v>
      </c>
      <c r="M20" s="14" t="s">
        <v>463</v>
      </c>
      <c r="N20" s="20" t="str" cm="1">
        <f t="array" ref="N20:P20">_xlfn.TEXTSPLIT(M20," ")</f>
        <v>19</v>
      </c>
      <c r="O20" t="str">
        <v>20</v>
      </c>
      <c r="P20" t="str">
        <v>14</v>
      </c>
      <c r="Q20" s="14" t="s">
        <v>463</v>
      </c>
      <c r="R20" s="20" t="str" cm="1">
        <f t="array" ref="R20:T20">_xlfn.TEXTSPLIT(Q20," ")</f>
        <v>19</v>
      </c>
      <c r="S20" t="str">
        <v>20</v>
      </c>
      <c r="T20" t="str">
        <v>14</v>
      </c>
      <c r="U20" s="14" t="s">
        <v>463</v>
      </c>
      <c r="V20" s="20" t="str" cm="1">
        <f t="array" ref="V20:X20">_xlfn.TEXTSPLIT(U20," ")</f>
        <v>19</v>
      </c>
      <c r="W20" t="str">
        <v>20</v>
      </c>
      <c r="X20" t="str">
        <v>14</v>
      </c>
      <c r="Y20" s="14" t="s">
        <v>495</v>
      </c>
      <c r="Z20" s="20" t="str" cm="1">
        <f t="array" ref="Z20:AB20">_xlfn.TEXTSPLIT(Y20," ")</f>
        <v>19</v>
      </c>
      <c r="AA20" t="str">
        <v>0</v>
      </c>
      <c r="AB20" t="str">
        <v>14</v>
      </c>
      <c r="AC20" s="14" t="s">
        <v>463</v>
      </c>
      <c r="AD20" s="20" t="str" cm="1">
        <f t="array" ref="AD20:AF20">_xlfn.TEXTSPLIT(AC20," ")</f>
        <v>19</v>
      </c>
      <c r="AE20" t="str">
        <v>20</v>
      </c>
      <c r="AF20" t="str">
        <v>14</v>
      </c>
    </row>
    <row r="21" spans="1:32" x14ac:dyDescent="0.45">
      <c r="A21" s="14" t="s">
        <v>464</v>
      </c>
      <c r="B21" s="20" t="str" cm="1">
        <f t="array" ref="B21:D21">_xlfn.TEXTSPLIT(A21," ")</f>
        <v>20</v>
      </c>
      <c r="C21" t="str">
        <v>0</v>
      </c>
      <c r="D21" t="str">
        <v>14</v>
      </c>
      <c r="E21" s="14" t="s">
        <v>464</v>
      </c>
      <c r="F21" s="20" t="str" cm="1">
        <f t="array" ref="F21:H21">_xlfn.TEXTSPLIT(E21," ")</f>
        <v>20</v>
      </c>
      <c r="G21" t="str">
        <v>0</v>
      </c>
      <c r="H21" t="str">
        <v>14</v>
      </c>
      <c r="I21" s="14" t="s">
        <v>464</v>
      </c>
      <c r="J21" s="20" t="str" cm="1">
        <f t="array" ref="J21:L21">_xlfn.TEXTSPLIT(I21," ")</f>
        <v>20</v>
      </c>
      <c r="K21" t="str">
        <v>0</v>
      </c>
      <c r="L21" t="str">
        <v>14</v>
      </c>
      <c r="M21" s="14" t="s">
        <v>464</v>
      </c>
      <c r="N21" s="20" t="str" cm="1">
        <f t="array" ref="N21:P21">_xlfn.TEXTSPLIT(M21," ")</f>
        <v>20</v>
      </c>
      <c r="O21" t="str">
        <v>0</v>
      </c>
      <c r="P21" t="str">
        <v>14</v>
      </c>
      <c r="Q21" s="14" t="s">
        <v>464</v>
      </c>
      <c r="R21" s="20" t="str" cm="1">
        <f t="array" ref="R21:T21">_xlfn.TEXTSPLIT(Q21," ")</f>
        <v>20</v>
      </c>
      <c r="S21" t="str">
        <v>0</v>
      </c>
      <c r="T21" t="str">
        <v>14</v>
      </c>
      <c r="U21" s="14" t="s">
        <v>464</v>
      </c>
      <c r="V21" s="20" t="str" cm="1">
        <f t="array" ref="V21:X21">_xlfn.TEXTSPLIT(U21," ")</f>
        <v>20</v>
      </c>
      <c r="W21" t="str">
        <v>0</v>
      </c>
      <c r="X21" t="str">
        <v>14</v>
      </c>
      <c r="Y21" s="14" t="s">
        <v>464</v>
      </c>
      <c r="Z21" s="20" t="str" cm="1">
        <f t="array" ref="Z21:AB21">_xlfn.TEXTSPLIT(Y21," ")</f>
        <v>20</v>
      </c>
      <c r="AA21" t="str">
        <v>0</v>
      </c>
      <c r="AB21" t="str">
        <v>14</v>
      </c>
      <c r="AC21" s="14" t="s">
        <v>464</v>
      </c>
      <c r="AD21" s="20" t="str" cm="1">
        <f t="array" ref="AD21:AF21">_xlfn.TEXTSPLIT(AC21," ")</f>
        <v>20</v>
      </c>
      <c r="AE21" t="str">
        <v>0</v>
      </c>
      <c r="AF21" t="str">
        <v>14</v>
      </c>
    </row>
    <row r="22" spans="1:32" x14ac:dyDescent="0.45">
      <c r="A22" s="14" t="s">
        <v>465</v>
      </c>
      <c r="B22" s="20" t="str" cm="1">
        <f t="array" ref="B22:D22">_xlfn.TEXTSPLIT(A22," ")</f>
        <v>21</v>
      </c>
      <c r="C22" t="str">
        <v>0</v>
      </c>
      <c r="D22" t="str">
        <v>14</v>
      </c>
      <c r="E22" s="14" t="s">
        <v>465</v>
      </c>
      <c r="F22" s="20" t="str" cm="1">
        <f t="array" ref="F22:H22">_xlfn.TEXTSPLIT(E22," ")</f>
        <v>21</v>
      </c>
      <c r="G22" t="str">
        <v>0</v>
      </c>
      <c r="H22" t="str">
        <v>14</v>
      </c>
      <c r="I22" s="14" t="s">
        <v>465</v>
      </c>
      <c r="J22" s="20" t="str" cm="1">
        <f t="array" ref="J22:L22">_xlfn.TEXTSPLIT(I22," ")</f>
        <v>21</v>
      </c>
      <c r="K22" t="str">
        <v>0</v>
      </c>
      <c r="L22" t="str">
        <v>14</v>
      </c>
      <c r="M22" s="14" t="s">
        <v>465</v>
      </c>
      <c r="N22" s="20" t="str" cm="1">
        <f t="array" ref="N22:P22">_xlfn.TEXTSPLIT(M22," ")</f>
        <v>21</v>
      </c>
      <c r="O22" t="str">
        <v>0</v>
      </c>
      <c r="P22" t="str">
        <v>14</v>
      </c>
      <c r="Q22" s="14" t="s">
        <v>465</v>
      </c>
      <c r="R22" s="20" t="str" cm="1">
        <f t="array" ref="R22:T22">_xlfn.TEXTSPLIT(Q22," ")</f>
        <v>21</v>
      </c>
      <c r="S22" t="str">
        <v>0</v>
      </c>
      <c r="T22" t="str">
        <v>14</v>
      </c>
      <c r="U22" s="14" t="s">
        <v>465</v>
      </c>
      <c r="V22" s="20" t="str" cm="1">
        <f t="array" ref="V22:X22">_xlfn.TEXTSPLIT(U22," ")</f>
        <v>21</v>
      </c>
      <c r="W22" t="str">
        <v>0</v>
      </c>
      <c r="X22" t="str">
        <v>14</v>
      </c>
      <c r="Y22" s="14" t="s">
        <v>465</v>
      </c>
      <c r="Z22" s="20" t="str" cm="1">
        <f t="array" ref="Z22:AB22">_xlfn.TEXTSPLIT(Y22," ")</f>
        <v>21</v>
      </c>
      <c r="AA22" t="str">
        <v>0</v>
      </c>
      <c r="AB22" t="str">
        <v>14</v>
      </c>
      <c r="AC22" s="14" t="s">
        <v>465</v>
      </c>
      <c r="AD22" s="20" t="str" cm="1">
        <f t="array" ref="AD22:AF22">_xlfn.TEXTSPLIT(AC22," ")</f>
        <v>21</v>
      </c>
      <c r="AE22" t="str">
        <v>0</v>
      </c>
      <c r="AF22" t="str">
        <v>14</v>
      </c>
    </row>
    <row r="23" spans="1:32" x14ac:dyDescent="0.45">
      <c r="A23" s="14" t="s">
        <v>466</v>
      </c>
      <c r="B23" s="20" t="str" cm="1">
        <f t="array" ref="B23:D23">_xlfn.TEXTSPLIT(A23," ")</f>
        <v>22</v>
      </c>
      <c r="C23" t="str">
        <v>0</v>
      </c>
      <c r="D23" t="str">
        <v>14</v>
      </c>
      <c r="E23" s="14" t="s">
        <v>466</v>
      </c>
      <c r="F23" s="20" t="str" cm="1">
        <f t="array" ref="F23:H23">_xlfn.TEXTSPLIT(E23," ")</f>
        <v>22</v>
      </c>
      <c r="G23" t="str">
        <v>0</v>
      </c>
      <c r="H23" t="str">
        <v>14</v>
      </c>
      <c r="I23" s="14" t="s">
        <v>466</v>
      </c>
      <c r="J23" s="20" t="str" cm="1">
        <f t="array" ref="J23:L23">_xlfn.TEXTSPLIT(I23," ")</f>
        <v>22</v>
      </c>
      <c r="K23" t="str">
        <v>0</v>
      </c>
      <c r="L23" t="str">
        <v>14</v>
      </c>
      <c r="M23" s="14" t="s">
        <v>466</v>
      </c>
      <c r="N23" s="20" t="str" cm="1">
        <f t="array" ref="N23:P23">_xlfn.TEXTSPLIT(M23," ")</f>
        <v>22</v>
      </c>
      <c r="O23" t="str">
        <v>0</v>
      </c>
      <c r="P23" t="str">
        <v>14</v>
      </c>
      <c r="Q23" s="14" t="s">
        <v>466</v>
      </c>
      <c r="R23" s="20" t="str" cm="1">
        <f t="array" ref="R23:T23">_xlfn.TEXTSPLIT(Q23," ")</f>
        <v>22</v>
      </c>
      <c r="S23" t="str">
        <v>0</v>
      </c>
      <c r="T23" t="str">
        <v>14</v>
      </c>
      <c r="U23" s="14" t="s">
        <v>466</v>
      </c>
      <c r="V23" s="20" t="str" cm="1">
        <f t="array" ref="V23:X23">_xlfn.TEXTSPLIT(U23," ")</f>
        <v>22</v>
      </c>
      <c r="W23" t="str">
        <v>0</v>
      </c>
      <c r="X23" t="str">
        <v>14</v>
      </c>
      <c r="Y23" s="14" t="s">
        <v>466</v>
      </c>
      <c r="Z23" s="20" t="str" cm="1">
        <f t="array" ref="Z23:AB23">_xlfn.TEXTSPLIT(Y23," ")</f>
        <v>22</v>
      </c>
      <c r="AA23" t="str">
        <v>0</v>
      </c>
      <c r="AB23" t="str">
        <v>14</v>
      </c>
      <c r="AC23" s="14" t="s">
        <v>466</v>
      </c>
      <c r="AD23" s="20" t="str" cm="1">
        <f t="array" ref="AD23:AF23">_xlfn.TEXTSPLIT(AC23," ")</f>
        <v>22</v>
      </c>
      <c r="AE23" t="str">
        <v>0</v>
      </c>
      <c r="AF23" t="str">
        <v>14</v>
      </c>
    </row>
    <row r="24" spans="1:32" x14ac:dyDescent="0.45">
      <c r="A24" s="14" t="s">
        <v>467</v>
      </c>
      <c r="B24" s="20" t="str" cm="1">
        <f t="array" ref="B24:D24">_xlfn.TEXTSPLIT(A24," ")</f>
        <v>23</v>
      </c>
      <c r="C24" t="str">
        <v>0</v>
      </c>
      <c r="D24" t="str">
        <v>14</v>
      </c>
      <c r="E24" s="14" t="s">
        <v>467</v>
      </c>
      <c r="F24" s="20" t="str" cm="1">
        <f t="array" ref="F24:H24">_xlfn.TEXTSPLIT(E24," ")</f>
        <v>23</v>
      </c>
      <c r="G24" t="str">
        <v>0</v>
      </c>
      <c r="H24" t="str">
        <v>14</v>
      </c>
      <c r="I24" s="14" t="s">
        <v>467</v>
      </c>
      <c r="J24" s="20" t="str" cm="1">
        <f t="array" ref="J24:L24">_xlfn.TEXTSPLIT(I24," ")</f>
        <v>23</v>
      </c>
      <c r="K24" t="str">
        <v>0</v>
      </c>
      <c r="L24" t="str">
        <v>14</v>
      </c>
      <c r="M24" s="14" t="s">
        <v>467</v>
      </c>
      <c r="N24" s="20" t="str" cm="1">
        <f t="array" ref="N24:P24">_xlfn.TEXTSPLIT(M24," ")</f>
        <v>23</v>
      </c>
      <c r="O24" t="str">
        <v>0</v>
      </c>
      <c r="P24" t="str">
        <v>14</v>
      </c>
      <c r="Q24" s="14" t="s">
        <v>467</v>
      </c>
      <c r="R24" s="20" t="str" cm="1">
        <f t="array" ref="R24:T24">_xlfn.TEXTSPLIT(Q24," ")</f>
        <v>23</v>
      </c>
      <c r="S24" t="str">
        <v>0</v>
      </c>
      <c r="T24" t="str">
        <v>14</v>
      </c>
      <c r="U24" s="14" t="s">
        <v>467</v>
      </c>
      <c r="V24" s="20" t="str" cm="1">
        <f t="array" ref="V24:X24">_xlfn.TEXTSPLIT(U24," ")</f>
        <v>23</v>
      </c>
      <c r="W24" t="str">
        <v>0</v>
      </c>
      <c r="X24" t="str">
        <v>14</v>
      </c>
      <c r="Y24" s="14" t="s">
        <v>467</v>
      </c>
      <c r="Z24" s="20" t="str" cm="1">
        <f t="array" ref="Z24:AB24">_xlfn.TEXTSPLIT(Y24," ")</f>
        <v>23</v>
      </c>
      <c r="AA24" t="str">
        <v>0</v>
      </c>
      <c r="AB24" t="str">
        <v>14</v>
      </c>
      <c r="AC24" s="14" t="s">
        <v>467</v>
      </c>
      <c r="AD24" s="20" t="str" cm="1">
        <f t="array" ref="AD24:AF24">_xlfn.TEXTSPLIT(AC24," ")</f>
        <v>23</v>
      </c>
      <c r="AE24" t="str">
        <v>0</v>
      </c>
      <c r="AF24" t="str">
        <v>14</v>
      </c>
    </row>
    <row r="25" spans="1:32" x14ac:dyDescent="0.45">
      <c r="A25" s="14" t="s">
        <v>468</v>
      </c>
      <c r="B25" s="20" t="str" cm="1">
        <f t="array" ref="B25:D25">_xlfn.TEXTSPLIT(A25," ")</f>
        <v>24</v>
      </c>
      <c r="C25" t="str">
        <v>0</v>
      </c>
      <c r="D25" t="str">
        <v>14</v>
      </c>
      <c r="E25" s="14" t="s">
        <v>468</v>
      </c>
      <c r="F25" s="20" t="str" cm="1">
        <f t="array" ref="F25:H25">_xlfn.TEXTSPLIT(E25," ")</f>
        <v>24</v>
      </c>
      <c r="G25" t="str">
        <v>0</v>
      </c>
      <c r="H25" t="str">
        <v>14</v>
      </c>
      <c r="I25" s="14" t="s">
        <v>468</v>
      </c>
      <c r="J25" s="20" t="str" cm="1">
        <f t="array" ref="J25:L25">_xlfn.TEXTSPLIT(I25," ")</f>
        <v>24</v>
      </c>
      <c r="K25" t="str">
        <v>0</v>
      </c>
      <c r="L25" t="str">
        <v>14</v>
      </c>
      <c r="M25" s="14" t="s">
        <v>468</v>
      </c>
      <c r="N25" s="20" t="str" cm="1">
        <f t="array" ref="N25:P25">_xlfn.TEXTSPLIT(M25," ")</f>
        <v>24</v>
      </c>
      <c r="O25" t="str">
        <v>0</v>
      </c>
      <c r="P25" t="str">
        <v>14</v>
      </c>
      <c r="Q25" s="14" t="s">
        <v>468</v>
      </c>
      <c r="R25" s="20" t="str" cm="1">
        <f t="array" ref="R25:T25">_xlfn.TEXTSPLIT(Q25," ")</f>
        <v>24</v>
      </c>
      <c r="S25" t="str">
        <v>0</v>
      </c>
      <c r="T25" t="str">
        <v>14</v>
      </c>
      <c r="U25" s="14" t="s">
        <v>468</v>
      </c>
      <c r="V25" s="20" t="str" cm="1">
        <f t="array" ref="V25:X25">_xlfn.TEXTSPLIT(U25," ")</f>
        <v>24</v>
      </c>
      <c r="W25" t="str">
        <v>0</v>
      </c>
      <c r="X25" t="str">
        <v>14</v>
      </c>
      <c r="Y25" s="14" t="s">
        <v>526</v>
      </c>
      <c r="Z25" s="20" t="str" cm="1">
        <f t="array" ref="Z25:AB25">_xlfn.TEXTSPLIT(Y25," ")</f>
        <v>24</v>
      </c>
      <c r="AA25" t="str">
        <v>0</v>
      </c>
      <c r="AB25" t="str">
        <v>13.9877</v>
      </c>
      <c r="AC25" s="14" t="s">
        <v>468</v>
      </c>
      <c r="AD25" s="20" t="str" cm="1">
        <f t="array" ref="AD25:AF25">_xlfn.TEXTSPLIT(AC25," ")</f>
        <v>24</v>
      </c>
      <c r="AE25" t="str">
        <v>0</v>
      </c>
      <c r="AF25" t="str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4a2cac-7ebc-4ae2-9cdd-94fb1c2687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2ACC16CBE114588564C41D50E878C" ma:contentTypeVersion="9" ma:contentTypeDescription="Create a new document." ma:contentTypeScope="" ma:versionID="17e6f5bd393385eb382bc7104e5cdb46">
  <xsd:schema xmlns:xsd="http://www.w3.org/2001/XMLSchema" xmlns:xs="http://www.w3.org/2001/XMLSchema" xmlns:p="http://schemas.microsoft.com/office/2006/metadata/properties" xmlns:ns3="734a2cac-7ebc-4ae2-9cdd-94fb1c268727" targetNamespace="http://schemas.microsoft.com/office/2006/metadata/properties" ma:root="true" ma:fieldsID="a43a5496d91ef783f0113506cd6bb90b" ns3:_="">
    <xsd:import namespace="734a2cac-7ebc-4ae2-9cdd-94fb1c2687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a2cac-7ebc-4ae2-9cdd-94fb1c2687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B50FDE-C76E-4451-A3C4-20A15BFF8848}">
  <ds:schemaRefs>
    <ds:schemaRef ds:uri="http://purl.org/dc/elements/1.1/"/>
    <ds:schemaRef ds:uri="734a2cac-7ebc-4ae2-9cdd-94fb1c268727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FB2052E-BB1E-48E0-82BD-53743F0FA1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a2cac-7ebc-4ae2-9cdd-94fb1c2687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35A5A0-7BCF-45A9-AE07-C2D38082AD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stoch-sched</vt:lpstr>
      <vt:lpstr>stoch-recourse</vt:lpstr>
      <vt:lpstr>EV-sched</vt:lpstr>
      <vt:lpstr>EV-recourse</vt:lpstr>
      <vt:lpstr>WS-sched</vt:lpstr>
      <vt:lpstr>WS-recourse</vt:lpstr>
      <vt:lpstr>RAW DATA</vt:lpstr>
      <vt:lpstr>stoch-scens</vt:lpstr>
      <vt:lpstr>EV-scens</vt:lpstr>
      <vt:lpstr>WS-scens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Book, Katherine</dc:creator>
  <cp:keywords/>
  <dc:description/>
  <cp:lastModifiedBy>Katherine Book</cp:lastModifiedBy>
  <cp:revision/>
  <dcterms:created xsi:type="dcterms:W3CDTF">2026-05-05T18:37:51Z</dcterms:created>
  <dcterms:modified xsi:type="dcterms:W3CDTF">2026-05-13T07:27:07Z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0x010100ACE2ACC16CBE114588564C41D50E878C</vt:lpwstr>
  </property>
</Properties>
</file>